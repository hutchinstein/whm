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D\Desktop\"/>
    </mc:Choice>
  </mc:AlternateContent>
  <xr:revisionPtr revIDLastSave="0" documentId="13_ncr:1_{06E8A47A-D6A8-4833-9E8F-C153AB3FB5F1}" xr6:coauthVersionLast="40" xr6:coauthVersionMax="40" xr10:uidLastSave="{00000000-0000-0000-0000-000000000000}"/>
  <bookViews>
    <workbookView minimized="1" xWindow="0" yWindow="0" windowWidth="28800" windowHeight="12225" xr2:uid="{00000000-000D-0000-FFFF-FFFF00000000}"/>
  </bookViews>
  <sheets>
    <sheet name="whm_guide" sheetId="1" r:id="rId1"/>
    <sheet name="Sheet1" sheetId="3" r:id="rId2"/>
    <sheet name="my_guide" sheetId="2" r:id="rId3"/>
  </sheets>
  <calcPr calcId="181029"/>
</workbook>
</file>

<file path=xl/calcChain.xml><?xml version="1.0" encoding="utf-8"?>
<calcChain xmlns="http://schemas.openxmlformats.org/spreadsheetml/2006/main">
  <c r="J2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3" i="1"/>
  <c r="M2" i="1" l="1"/>
  <c r="P602" i="1"/>
  <c r="P590" i="1"/>
  <c r="P582" i="1"/>
  <c r="P562" i="1"/>
  <c r="P550" i="1"/>
  <c r="P546" i="1"/>
  <c r="P542" i="1"/>
  <c r="P514" i="1"/>
  <c r="P486" i="1"/>
  <c r="P482" i="1"/>
  <c r="P478" i="1"/>
  <c r="P466" i="1"/>
  <c r="P462" i="1"/>
  <c r="P442" i="1"/>
  <c r="P426" i="1"/>
  <c r="P418" i="1"/>
  <c r="P410" i="1"/>
  <c r="P406" i="1"/>
  <c r="P402" i="1"/>
  <c r="P378" i="1"/>
  <c r="P370" i="1"/>
  <c r="P366" i="1"/>
  <c r="P362" i="1"/>
  <c r="P358" i="1"/>
  <c r="P350" i="1"/>
  <c r="P334" i="1"/>
  <c r="P322" i="1"/>
  <c r="P314" i="1"/>
  <c r="P286" i="1"/>
  <c r="P278" i="1"/>
  <c r="P266" i="1"/>
  <c r="P258" i="1"/>
  <c r="P254" i="1"/>
  <c r="P250" i="1"/>
  <c r="P246" i="1"/>
  <c r="P238" i="1"/>
  <c r="P226" i="1"/>
  <c r="P214" i="1"/>
  <c r="P202" i="1"/>
  <c r="P190" i="1"/>
  <c r="P178" i="1"/>
  <c r="P170" i="1"/>
  <c r="P162" i="1"/>
  <c r="P150" i="1"/>
  <c r="P142" i="1"/>
  <c r="P138" i="1"/>
  <c r="P126" i="1"/>
  <c r="P114" i="1"/>
  <c r="P106" i="1"/>
  <c r="P94" i="1"/>
  <c r="P82" i="1"/>
  <c r="P70" i="1"/>
  <c r="P50" i="1"/>
  <c r="P46" i="1"/>
  <c r="P42" i="1"/>
  <c r="P38" i="1"/>
  <c r="P34" i="1"/>
  <c r="P30" i="1"/>
  <c r="P18" i="1"/>
  <c r="P14" i="1"/>
  <c r="P10" i="1"/>
  <c r="P6" i="1"/>
  <c r="P601" i="1"/>
  <c r="P597" i="1"/>
  <c r="P593" i="1"/>
  <c r="P589" i="1"/>
  <c r="P585" i="1"/>
  <c r="P581" i="1"/>
  <c r="P577" i="1"/>
  <c r="P573" i="1"/>
  <c r="P569" i="1"/>
  <c r="P565" i="1"/>
  <c r="P561" i="1"/>
  <c r="P557" i="1"/>
  <c r="P553" i="1"/>
  <c r="P549" i="1"/>
  <c r="P545" i="1"/>
  <c r="P541" i="1"/>
  <c r="P537" i="1"/>
  <c r="P533" i="1"/>
  <c r="P529" i="1"/>
  <c r="P525" i="1"/>
  <c r="P521" i="1"/>
  <c r="P517" i="1"/>
  <c r="P513" i="1"/>
  <c r="P509" i="1"/>
  <c r="P505" i="1"/>
  <c r="P501" i="1"/>
  <c r="P497" i="1"/>
  <c r="P493" i="1"/>
  <c r="P489" i="1"/>
  <c r="P485" i="1"/>
  <c r="P481" i="1"/>
  <c r="P477" i="1"/>
  <c r="P473" i="1"/>
  <c r="P469" i="1"/>
  <c r="P465" i="1"/>
  <c r="P461" i="1"/>
  <c r="P457" i="1"/>
  <c r="P453" i="1"/>
  <c r="P449" i="1"/>
  <c r="P445" i="1"/>
  <c r="P441" i="1"/>
  <c r="P437" i="1"/>
  <c r="P433" i="1"/>
  <c r="P429" i="1"/>
  <c r="P425" i="1"/>
  <c r="P421" i="1"/>
  <c r="P417" i="1"/>
  <c r="P413" i="1"/>
  <c r="P409" i="1"/>
  <c r="P405" i="1"/>
  <c r="P401" i="1"/>
  <c r="P397" i="1"/>
  <c r="P393" i="1"/>
  <c r="P389" i="1"/>
  <c r="P385" i="1"/>
  <c r="P381" i="1"/>
  <c r="P377" i="1"/>
  <c r="P373" i="1"/>
  <c r="P369" i="1"/>
  <c r="P365" i="1"/>
  <c r="P361" i="1"/>
  <c r="P357" i="1"/>
  <c r="P353" i="1"/>
  <c r="P349" i="1"/>
  <c r="P345" i="1"/>
  <c r="P341" i="1"/>
  <c r="P337" i="1"/>
  <c r="P333" i="1"/>
  <c r="P329" i="1"/>
  <c r="P325" i="1"/>
  <c r="P321" i="1"/>
  <c r="P317" i="1"/>
  <c r="P313" i="1"/>
  <c r="P309" i="1"/>
  <c r="P305" i="1"/>
  <c r="P301" i="1"/>
  <c r="P297" i="1"/>
  <c r="P293" i="1"/>
  <c r="P289" i="1"/>
  <c r="P285" i="1"/>
  <c r="P281" i="1"/>
  <c r="P277" i="1"/>
  <c r="P273" i="1"/>
  <c r="P269" i="1"/>
  <c r="P265" i="1"/>
  <c r="P261" i="1"/>
  <c r="P257" i="1"/>
  <c r="P253" i="1"/>
  <c r="P249" i="1"/>
  <c r="P245" i="1"/>
  <c r="P241" i="1"/>
  <c r="P237" i="1"/>
  <c r="P233" i="1"/>
  <c r="P229" i="1"/>
  <c r="P225" i="1"/>
  <c r="P221" i="1"/>
  <c r="P217" i="1"/>
  <c r="P213" i="1"/>
  <c r="P209" i="1"/>
  <c r="P205" i="1"/>
  <c r="P201" i="1"/>
  <c r="P197" i="1"/>
  <c r="P193" i="1"/>
  <c r="P189" i="1"/>
  <c r="P185" i="1"/>
  <c r="P181" i="1"/>
  <c r="P177" i="1"/>
  <c r="P173" i="1"/>
  <c r="P169" i="1"/>
  <c r="P165" i="1"/>
  <c r="P161" i="1"/>
  <c r="P157" i="1"/>
  <c r="P153" i="1"/>
  <c r="P149" i="1"/>
  <c r="P145" i="1"/>
  <c r="P141" i="1"/>
  <c r="P137" i="1"/>
  <c r="P133" i="1"/>
  <c r="P129" i="1"/>
  <c r="P125" i="1"/>
  <c r="P121" i="1"/>
  <c r="P117" i="1"/>
  <c r="P113" i="1"/>
  <c r="P109" i="1"/>
  <c r="P105" i="1"/>
  <c r="P101" i="1"/>
  <c r="P97" i="1"/>
  <c r="P93" i="1"/>
  <c r="P89" i="1"/>
  <c r="P85" i="1"/>
  <c r="P81" i="1"/>
  <c r="P77" i="1"/>
  <c r="P73" i="1"/>
  <c r="P69" i="1"/>
  <c r="P65" i="1"/>
  <c r="P61" i="1"/>
  <c r="P57" i="1"/>
  <c r="P53" i="1"/>
  <c r="P49" i="1"/>
  <c r="P45" i="1"/>
  <c r="P41" i="1"/>
  <c r="P37" i="1"/>
  <c r="P33" i="1"/>
  <c r="P29" i="1"/>
  <c r="P25" i="1"/>
  <c r="P21" i="1"/>
  <c r="P17" i="1"/>
  <c r="P13" i="1"/>
  <c r="P9" i="1"/>
  <c r="P5" i="1"/>
  <c r="P598" i="1"/>
  <c r="P594" i="1"/>
  <c r="P558" i="1"/>
  <c r="P538" i="1"/>
  <c r="P530" i="1"/>
  <c r="P526" i="1"/>
  <c r="P494" i="1"/>
  <c r="P490" i="1"/>
  <c r="P470" i="1"/>
  <c r="P450" i="1"/>
  <c r="P438" i="1"/>
  <c r="P434" i="1"/>
  <c r="P430" i="1"/>
  <c r="P398" i="1"/>
  <c r="P394" i="1"/>
  <c r="P390" i="1"/>
  <c r="P386" i="1"/>
  <c r="P346" i="1"/>
  <c r="P342" i="1"/>
  <c r="P326" i="1"/>
  <c r="P298" i="1"/>
  <c r="P290" i="1"/>
  <c r="P282" i="1"/>
  <c r="P262" i="1"/>
  <c r="P230" i="1"/>
  <c r="P218" i="1"/>
  <c r="P206" i="1"/>
  <c r="P194" i="1"/>
  <c r="P182" i="1"/>
  <c r="P166" i="1"/>
  <c r="P158" i="1"/>
  <c r="P146" i="1"/>
  <c r="P130" i="1"/>
  <c r="P118" i="1"/>
  <c r="P110" i="1"/>
  <c r="P102" i="1"/>
  <c r="P90" i="1"/>
  <c r="P78" i="1"/>
  <c r="P66" i="1"/>
  <c r="P58" i="1"/>
  <c r="P26" i="1"/>
  <c r="P600" i="1"/>
  <c r="P592" i="1"/>
  <c r="P580" i="1"/>
  <c r="P572" i="1"/>
  <c r="P560" i="1"/>
  <c r="P556" i="1"/>
  <c r="P552" i="1"/>
  <c r="P548" i="1"/>
  <c r="P544" i="1"/>
  <c r="P540" i="1"/>
  <c r="P536" i="1"/>
  <c r="P532" i="1"/>
  <c r="P528" i="1"/>
  <c r="P524" i="1"/>
  <c r="P520" i="1"/>
  <c r="P516" i="1"/>
  <c r="P512" i="1"/>
  <c r="P508" i="1"/>
  <c r="P504" i="1"/>
  <c r="P500" i="1"/>
  <c r="P496" i="1"/>
  <c r="P492" i="1"/>
  <c r="P488" i="1"/>
  <c r="P484" i="1"/>
  <c r="P480" i="1"/>
  <c r="P476" i="1"/>
  <c r="P472" i="1"/>
  <c r="P468" i="1"/>
  <c r="P464" i="1"/>
  <c r="P460" i="1"/>
  <c r="P456" i="1"/>
  <c r="P452" i="1"/>
  <c r="P448" i="1"/>
  <c r="P444" i="1"/>
  <c r="P440" i="1"/>
  <c r="P436" i="1"/>
  <c r="P432" i="1"/>
  <c r="P428" i="1"/>
  <c r="P424" i="1"/>
  <c r="P420" i="1"/>
  <c r="P416" i="1"/>
  <c r="P412" i="1"/>
  <c r="P408" i="1"/>
  <c r="P404" i="1"/>
  <c r="P400" i="1"/>
  <c r="P396" i="1"/>
  <c r="P392" i="1"/>
  <c r="P388" i="1"/>
  <c r="P384" i="1"/>
  <c r="P380" i="1"/>
  <c r="P376" i="1"/>
  <c r="P372" i="1"/>
  <c r="P368" i="1"/>
  <c r="P364" i="1"/>
  <c r="P360" i="1"/>
  <c r="P356" i="1"/>
  <c r="P352" i="1"/>
  <c r="P348" i="1"/>
  <c r="P344" i="1"/>
  <c r="P340" i="1"/>
  <c r="P336" i="1"/>
  <c r="P332" i="1"/>
  <c r="P328" i="1"/>
  <c r="P324" i="1"/>
  <c r="P320" i="1"/>
  <c r="P316" i="1"/>
  <c r="P312" i="1"/>
  <c r="P308" i="1"/>
  <c r="P304" i="1"/>
  <c r="P300" i="1"/>
  <c r="P296" i="1"/>
  <c r="P292" i="1"/>
  <c r="P288" i="1"/>
  <c r="P284" i="1"/>
  <c r="P280" i="1"/>
  <c r="P276" i="1"/>
  <c r="P272" i="1"/>
  <c r="P268" i="1"/>
  <c r="P264" i="1"/>
  <c r="P260" i="1"/>
  <c r="P256" i="1"/>
  <c r="P252" i="1"/>
  <c r="P248" i="1"/>
  <c r="P244" i="1"/>
  <c r="P240" i="1"/>
  <c r="P236" i="1"/>
  <c r="P232" i="1"/>
  <c r="P228" i="1"/>
  <c r="P224" i="1"/>
  <c r="P220" i="1"/>
  <c r="P216" i="1"/>
  <c r="P212" i="1"/>
  <c r="P208" i="1"/>
  <c r="P204" i="1"/>
  <c r="P200" i="1"/>
  <c r="P196" i="1"/>
  <c r="P192" i="1"/>
  <c r="P188" i="1"/>
  <c r="P184" i="1"/>
  <c r="P180" i="1"/>
  <c r="P176" i="1"/>
  <c r="P172" i="1"/>
  <c r="P168" i="1"/>
  <c r="P164" i="1"/>
  <c r="P160" i="1"/>
  <c r="P156" i="1"/>
  <c r="P152" i="1"/>
  <c r="P148" i="1"/>
  <c r="P144" i="1"/>
  <c r="P140" i="1"/>
  <c r="P136" i="1"/>
  <c r="P132" i="1"/>
  <c r="P12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  <c r="P4" i="1"/>
  <c r="P586" i="1"/>
  <c r="P578" i="1"/>
  <c r="P574" i="1"/>
  <c r="P570" i="1"/>
  <c r="P566" i="1"/>
  <c r="P554" i="1"/>
  <c r="P534" i="1"/>
  <c r="P522" i="1"/>
  <c r="P518" i="1"/>
  <c r="P510" i="1"/>
  <c r="P506" i="1"/>
  <c r="P502" i="1"/>
  <c r="P498" i="1"/>
  <c r="P474" i="1"/>
  <c r="P458" i="1"/>
  <c r="P454" i="1"/>
  <c r="P446" i="1"/>
  <c r="P422" i="1"/>
  <c r="P414" i="1"/>
  <c r="P382" i="1"/>
  <c r="P374" i="1"/>
  <c r="P354" i="1"/>
  <c r="P338" i="1"/>
  <c r="P330" i="1"/>
  <c r="P318" i="1"/>
  <c r="P310" i="1"/>
  <c r="P306" i="1"/>
  <c r="P302" i="1"/>
  <c r="P294" i="1"/>
  <c r="P274" i="1"/>
  <c r="P270" i="1"/>
  <c r="P242" i="1"/>
  <c r="P234" i="1"/>
  <c r="P222" i="1"/>
  <c r="P210" i="1"/>
  <c r="P198" i="1"/>
  <c r="P186" i="1"/>
  <c r="P174" i="1"/>
  <c r="P154" i="1"/>
  <c r="P134" i="1"/>
  <c r="P122" i="1"/>
  <c r="P98" i="1"/>
  <c r="P86" i="1"/>
  <c r="P74" i="1"/>
  <c r="P62" i="1"/>
  <c r="P54" i="1"/>
  <c r="P22" i="1"/>
  <c r="P596" i="1"/>
  <c r="P588" i="1"/>
  <c r="P584" i="1"/>
  <c r="P576" i="1"/>
  <c r="P568" i="1"/>
  <c r="P564" i="1"/>
  <c r="P3" i="1"/>
  <c r="P599" i="1"/>
  <c r="P595" i="1"/>
  <c r="P591" i="1"/>
  <c r="P587" i="1"/>
  <c r="P583" i="1"/>
  <c r="P579" i="1"/>
  <c r="P575" i="1"/>
  <c r="P571" i="1"/>
  <c r="P567" i="1"/>
  <c r="P563" i="1"/>
  <c r="P559" i="1"/>
  <c r="P555" i="1"/>
  <c r="P551" i="1"/>
  <c r="P547" i="1"/>
  <c r="P543" i="1"/>
  <c r="P539" i="1"/>
  <c r="P535" i="1"/>
  <c r="P531" i="1"/>
  <c r="P527" i="1"/>
  <c r="P523" i="1"/>
  <c r="P519" i="1"/>
  <c r="P515" i="1"/>
  <c r="P511" i="1"/>
  <c r="P507" i="1"/>
  <c r="P503" i="1"/>
  <c r="P499" i="1"/>
  <c r="P495" i="1"/>
  <c r="P491" i="1"/>
  <c r="P487" i="1"/>
  <c r="P483" i="1"/>
  <c r="P479" i="1"/>
  <c r="P475" i="1"/>
  <c r="P471" i="1"/>
  <c r="P467" i="1"/>
  <c r="P463" i="1"/>
  <c r="P459" i="1"/>
  <c r="P455" i="1"/>
  <c r="P451" i="1"/>
  <c r="P447" i="1"/>
  <c r="P443" i="1"/>
  <c r="P439" i="1"/>
  <c r="P435" i="1"/>
  <c r="P431" i="1"/>
  <c r="P427" i="1"/>
  <c r="P423" i="1"/>
  <c r="P419" i="1"/>
  <c r="P415" i="1"/>
  <c r="P411" i="1"/>
  <c r="P407" i="1"/>
  <c r="P403" i="1"/>
  <c r="P399" i="1"/>
  <c r="P395" i="1"/>
  <c r="P391" i="1"/>
  <c r="P387" i="1"/>
  <c r="P383" i="1"/>
  <c r="P379" i="1"/>
  <c r="P375" i="1"/>
  <c r="P371" i="1"/>
  <c r="P367" i="1"/>
  <c r="P363" i="1"/>
  <c r="P359" i="1"/>
  <c r="P355" i="1"/>
  <c r="P351" i="1"/>
  <c r="P347" i="1"/>
  <c r="P343" i="1"/>
  <c r="P339" i="1"/>
  <c r="P335" i="1"/>
  <c r="P331" i="1"/>
  <c r="P327" i="1"/>
  <c r="P323" i="1"/>
  <c r="P319" i="1"/>
  <c r="P315" i="1"/>
  <c r="P311" i="1"/>
  <c r="P307" i="1"/>
  <c r="P303" i="1"/>
  <c r="P299" i="1"/>
  <c r="P295" i="1"/>
  <c r="P291" i="1"/>
  <c r="P287" i="1"/>
  <c r="P283" i="1"/>
  <c r="P279" i="1"/>
  <c r="P275" i="1"/>
  <c r="P271" i="1"/>
  <c r="P267" i="1"/>
  <c r="P263" i="1"/>
  <c r="P259" i="1"/>
  <c r="P255" i="1"/>
  <c r="P251" i="1"/>
  <c r="P247" i="1"/>
  <c r="P243" i="1"/>
  <c r="P239" i="1"/>
  <c r="P235" i="1"/>
  <c r="P231" i="1"/>
  <c r="P227" i="1"/>
  <c r="P223" i="1"/>
  <c r="P219" i="1"/>
  <c r="P215" i="1"/>
  <c r="P211" i="1"/>
  <c r="P207" i="1"/>
  <c r="P203" i="1"/>
  <c r="P199" i="1"/>
  <c r="P195" i="1"/>
  <c r="P191" i="1"/>
  <c r="P187" i="1"/>
  <c r="P183" i="1"/>
  <c r="P179" i="1"/>
  <c r="P175" i="1"/>
  <c r="P171" i="1"/>
  <c r="P167" i="1"/>
  <c r="P163" i="1"/>
  <c r="P159" i="1"/>
  <c r="P155" i="1"/>
  <c r="P151" i="1"/>
  <c r="P147" i="1"/>
  <c r="P143" i="1"/>
  <c r="P139" i="1"/>
  <c r="P135" i="1"/>
  <c r="P131" i="1"/>
  <c r="P127" i="1"/>
  <c r="P123" i="1"/>
  <c r="P119" i="1"/>
  <c r="P115" i="1"/>
  <c r="P111" i="1"/>
  <c r="P107" i="1"/>
  <c r="P103" i="1"/>
  <c r="P99" i="1"/>
  <c r="P95" i="1"/>
  <c r="P91" i="1"/>
  <c r="P87" i="1"/>
  <c r="P83" i="1"/>
  <c r="P79" i="1"/>
  <c r="P75" i="1"/>
  <c r="P71" i="1"/>
  <c r="P67" i="1"/>
  <c r="P63" i="1"/>
  <c r="P59" i="1"/>
  <c r="P55" i="1"/>
  <c r="P51" i="1"/>
  <c r="P47" i="1"/>
  <c r="P43" i="1"/>
  <c r="P39" i="1"/>
  <c r="P35" i="1"/>
  <c r="P31" i="1"/>
  <c r="P27" i="1"/>
  <c r="P23" i="1"/>
  <c r="P19" i="1"/>
  <c r="P15" i="1"/>
  <c r="P11" i="1"/>
  <c r="P7" i="1"/>
  <c r="P2" i="1"/>
  <c r="M545" i="1"/>
  <c r="M585" i="1"/>
  <c r="M521" i="1"/>
  <c r="M577" i="1"/>
  <c r="M227" i="1"/>
  <c r="M553" i="1"/>
  <c r="M99" i="1"/>
  <c r="M600" i="1"/>
  <c r="M592" i="1"/>
  <c r="M580" i="1"/>
  <c r="M576" i="1"/>
  <c r="M572" i="1"/>
  <c r="M560" i="1"/>
  <c r="M556" i="1"/>
  <c r="M548" i="1"/>
  <c r="M544" i="1"/>
  <c r="M540" i="1"/>
  <c r="M536" i="1"/>
  <c r="M532" i="1"/>
  <c r="M528" i="1"/>
  <c r="M520" i="1"/>
  <c r="M516" i="1"/>
  <c r="M508" i="1"/>
  <c r="M504" i="1"/>
  <c r="M496" i="1"/>
  <c r="M488" i="1"/>
  <c r="M476" i="1"/>
  <c r="M468" i="1"/>
  <c r="M456" i="1"/>
  <c r="M448" i="1"/>
  <c r="M436" i="1"/>
  <c r="M428" i="1"/>
  <c r="M420" i="1"/>
  <c r="M404" i="1"/>
  <c r="M400" i="1"/>
  <c r="M396" i="1"/>
  <c r="M380" i="1"/>
  <c r="M372" i="1"/>
  <c r="M364" i="1"/>
  <c r="M360" i="1"/>
  <c r="M348" i="1"/>
  <c r="M344" i="1"/>
  <c r="M312" i="1"/>
  <c r="M308" i="1"/>
  <c r="M300" i="1"/>
  <c r="M292" i="1"/>
  <c r="M288" i="1"/>
  <c r="M284" i="1"/>
  <c r="M276" i="1"/>
  <c r="M256" i="1"/>
  <c r="M596" i="1"/>
  <c r="M588" i="1"/>
  <c r="M584" i="1"/>
  <c r="M568" i="1"/>
  <c r="M564" i="1"/>
  <c r="M552" i="1"/>
  <c r="M524" i="1"/>
  <c r="M512" i="1"/>
  <c r="M500" i="1"/>
  <c r="M492" i="1"/>
  <c r="M484" i="1"/>
  <c r="M480" i="1"/>
  <c r="M472" i="1"/>
  <c r="M464" i="1"/>
  <c r="M460" i="1"/>
  <c r="M452" i="1"/>
  <c r="M444" i="1"/>
  <c r="M440" i="1"/>
  <c r="M432" i="1"/>
  <c r="M424" i="1"/>
  <c r="M416" i="1"/>
  <c r="M412" i="1"/>
  <c r="M408" i="1"/>
  <c r="M392" i="1"/>
  <c r="M388" i="1"/>
  <c r="M384" i="1"/>
  <c r="M376" i="1"/>
  <c r="M368" i="1"/>
  <c r="M356" i="1"/>
  <c r="M352" i="1"/>
  <c r="M340" i="1"/>
  <c r="M336" i="1"/>
  <c r="M332" i="1"/>
  <c r="M328" i="1"/>
  <c r="M324" i="1"/>
  <c r="M320" i="1"/>
  <c r="M316" i="1"/>
  <c r="M304" i="1"/>
  <c r="M296" i="1"/>
  <c r="M280" i="1"/>
  <c r="M272" i="1"/>
  <c r="M268" i="1"/>
  <c r="M264" i="1"/>
  <c r="M260" i="1"/>
  <c r="M252" i="1"/>
  <c r="M248" i="1"/>
  <c r="M244" i="1"/>
  <c r="M240" i="1"/>
  <c r="M236" i="1"/>
  <c r="M232" i="1"/>
  <c r="M228" i="1"/>
  <c r="M224" i="1"/>
  <c r="M220" i="1"/>
  <c r="M216" i="1"/>
  <c r="M212" i="1"/>
  <c r="M208" i="1"/>
  <c r="M204" i="1"/>
  <c r="M200" i="1"/>
  <c r="M196" i="1"/>
  <c r="M192" i="1"/>
  <c r="M188" i="1"/>
  <c r="M184" i="1"/>
  <c r="M180" i="1"/>
  <c r="M176" i="1"/>
  <c r="M172" i="1"/>
  <c r="M164" i="1"/>
  <c r="M152" i="1"/>
  <c r="M148" i="1"/>
  <c r="M144" i="1"/>
  <c r="M132" i="1"/>
  <c r="M124" i="1"/>
  <c r="M116" i="1"/>
  <c r="M108" i="1"/>
  <c r="M100" i="1"/>
  <c r="M92" i="1"/>
  <c r="M84" i="1"/>
  <c r="M76" i="1"/>
  <c r="M68" i="1"/>
  <c r="M60" i="1"/>
  <c r="M52" i="1"/>
  <c r="M44" i="1"/>
  <c r="M28" i="1"/>
  <c r="M20" i="1"/>
  <c r="M12" i="1"/>
  <c r="M4" i="1"/>
  <c r="M575" i="1"/>
  <c r="M571" i="1"/>
  <c r="M567" i="1"/>
  <c r="M559" i="1"/>
  <c r="M551" i="1"/>
  <c r="M539" i="1"/>
  <c r="M535" i="1"/>
  <c r="M531" i="1"/>
  <c r="M515" i="1"/>
  <c r="M511" i="1"/>
  <c r="M503" i="1"/>
  <c r="M499" i="1"/>
  <c r="M495" i="1"/>
  <c r="M491" i="1"/>
  <c r="M479" i="1"/>
  <c r="M467" i="1"/>
  <c r="M463" i="1"/>
  <c r="M459" i="1"/>
  <c r="M439" i="1"/>
  <c r="M435" i="1"/>
  <c r="M419" i="1"/>
  <c r="M407" i="1"/>
  <c r="M395" i="1"/>
  <c r="M391" i="1"/>
  <c r="M375" i="1"/>
  <c r="M371" i="1"/>
  <c r="M367" i="1"/>
  <c r="M359" i="1"/>
  <c r="M355" i="1"/>
  <c r="M331" i="1"/>
  <c r="M311" i="1"/>
  <c r="M303" i="1"/>
  <c r="M299" i="1"/>
  <c r="M283" i="1"/>
  <c r="M271" i="1"/>
  <c r="M267" i="1"/>
  <c r="M263" i="1"/>
  <c r="M255" i="1"/>
  <c r="M247" i="1"/>
  <c r="M239" i="1"/>
  <c r="M219" i="1"/>
  <c r="M211" i="1"/>
  <c r="M203" i="1"/>
  <c r="M183" i="1"/>
  <c r="M179" i="1"/>
  <c r="M159" i="1"/>
  <c r="M155" i="1"/>
  <c r="M151" i="1"/>
  <c r="M143" i="1"/>
  <c r="M119" i="1"/>
  <c r="M83" i="1"/>
  <c r="M79" i="1"/>
  <c r="M75" i="1"/>
  <c r="M71" i="1"/>
  <c r="M63" i="1"/>
  <c r="M55" i="1"/>
  <c r="M31" i="1"/>
  <c r="M27" i="1"/>
  <c r="M19" i="1"/>
  <c r="M11" i="1"/>
  <c r="M7" i="1"/>
  <c r="M323" i="1"/>
  <c r="M67" i="1"/>
  <c r="M598" i="1"/>
  <c r="M594" i="1"/>
  <c r="M590" i="1"/>
  <c r="M586" i="1"/>
  <c r="M582" i="1"/>
  <c r="M578" i="1"/>
  <c r="M574" i="1"/>
  <c r="M570" i="1"/>
  <c r="M566" i="1"/>
  <c r="M562" i="1"/>
  <c r="M558" i="1"/>
  <c r="M554" i="1"/>
  <c r="M550" i="1"/>
  <c r="M546" i="1"/>
  <c r="M542" i="1"/>
  <c r="M538" i="1"/>
  <c r="M534" i="1"/>
  <c r="M530" i="1"/>
  <c r="M526" i="1"/>
  <c r="M522" i="1"/>
  <c r="M518" i="1"/>
  <c r="M514" i="1"/>
  <c r="M510" i="1"/>
  <c r="M506" i="1"/>
  <c r="M502" i="1"/>
  <c r="M498" i="1"/>
  <c r="M494" i="1"/>
  <c r="M490" i="1"/>
  <c r="M486" i="1"/>
  <c r="M482" i="1"/>
  <c r="M478" i="1"/>
  <c r="M474" i="1"/>
  <c r="M470" i="1"/>
  <c r="M466" i="1"/>
  <c r="M462" i="1"/>
  <c r="M458" i="1"/>
  <c r="M454" i="1"/>
  <c r="M450" i="1"/>
  <c r="M446" i="1"/>
  <c r="M442" i="1"/>
  <c r="M438" i="1"/>
  <c r="M434" i="1"/>
  <c r="M430" i="1"/>
  <c r="M426" i="1"/>
  <c r="M422" i="1"/>
  <c r="M418" i="1"/>
  <c r="M414" i="1"/>
  <c r="M410" i="1"/>
  <c r="M406" i="1"/>
  <c r="M402" i="1"/>
  <c r="M398" i="1"/>
  <c r="M394" i="1"/>
  <c r="M390" i="1"/>
  <c r="M386" i="1"/>
  <c r="M382" i="1"/>
  <c r="M378" i="1"/>
  <c r="M374" i="1"/>
  <c r="M370" i="1"/>
  <c r="M366" i="1"/>
  <c r="M362" i="1"/>
  <c r="M358" i="1"/>
  <c r="M354" i="1"/>
  <c r="M350" i="1"/>
  <c r="M346" i="1"/>
  <c r="M342" i="1"/>
  <c r="M338" i="1"/>
  <c r="M334" i="1"/>
  <c r="M330" i="1"/>
  <c r="M326" i="1"/>
  <c r="M322" i="1"/>
  <c r="M318" i="1"/>
  <c r="M314" i="1"/>
  <c r="M310" i="1"/>
  <c r="M306" i="1"/>
  <c r="M302" i="1"/>
  <c r="M298" i="1"/>
  <c r="M294" i="1"/>
  <c r="M290" i="1"/>
  <c r="M286" i="1"/>
  <c r="M282" i="1"/>
  <c r="M278" i="1"/>
  <c r="M274" i="1"/>
  <c r="M270" i="1"/>
  <c r="M266" i="1"/>
  <c r="M262" i="1"/>
  <c r="M258" i="1"/>
  <c r="M254" i="1"/>
  <c r="M250" i="1"/>
  <c r="M246" i="1"/>
  <c r="M242" i="1"/>
  <c r="M238" i="1"/>
  <c r="M234" i="1"/>
  <c r="M230" i="1"/>
  <c r="M226" i="1"/>
  <c r="M222" i="1"/>
  <c r="M218" i="1"/>
  <c r="M214" i="1"/>
  <c r="M210" i="1"/>
  <c r="M206" i="1"/>
  <c r="M202" i="1"/>
  <c r="M198" i="1"/>
  <c r="M194" i="1"/>
  <c r="M190" i="1"/>
  <c r="M186" i="1"/>
  <c r="M182" i="1"/>
  <c r="M178" i="1"/>
  <c r="M174" i="1"/>
  <c r="M170" i="1"/>
  <c r="M166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102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M601" i="1"/>
  <c r="M569" i="1"/>
  <c r="M537" i="1"/>
  <c r="M291" i="1"/>
  <c r="M163" i="1"/>
  <c r="M35" i="1"/>
  <c r="M168" i="1"/>
  <c r="M160" i="1"/>
  <c r="M156" i="1"/>
  <c r="M140" i="1"/>
  <c r="M136" i="1"/>
  <c r="M128" i="1"/>
  <c r="M120" i="1"/>
  <c r="M112" i="1"/>
  <c r="M104" i="1"/>
  <c r="M96" i="1"/>
  <c r="M88" i="1"/>
  <c r="M80" i="1"/>
  <c r="M72" i="1"/>
  <c r="M64" i="1"/>
  <c r="M56" i="1"/>
  <c r="M48" i="1"/>
  <c r="M40" i="1"/>
  <c r="M36" i="1"/>
  <c r="M32" i="1"/>
  <c r="M24" i="1"/>
  <c r="M16" i="1"/>
  <c r="M8" i="1"/>
  <c r="M599" i="1"/>
  <c r="M595" i="1"/>
  <c r="M591" i="1"/>
  <c r="M587" i="1"/>
  <c r="M583" i="1"/>
  <c r="M579" i="1"/>
  <c r="M563" i="1"/>
  <c r="M555" i="1"/>
  <c r="M547" i="1"/>
  <c r="M543" i="1"/>
  <c r="M527" i="1"/>
  <c r="M523" i="1"/>
  <c r="M519" i="1"/>
  <c r="M507" i="1"/>
  <c r="M487" i="1"/>
  <c r="M483" i="1"/>
  <c r="M475" i="1"/>
  <c r="M471" i="1"/>
  <c r="M455" i="1"/>
  <c r="M451" i="1"/>
  <c r="M447" i="1"/>
  <c r="M443" i="1"/>
  <c r="M431" i="1"/>
  <c r="M427" i="1"/>
  <c r="M423" i="1"/>
  <c r="M415" i="1"/>
  <c r="M411" i="1"/>
  <c r="M403" i="1"/>
  <c r="M399" i="1"/>
  <c r="M387" i="1"/>
  <c r="M383" i="1"/>
  <c r="M379" i="1"/>
  <c r="M363" i="1"/>
  <c r="M351" i="1"/>
  <c r="M347" i="1"/>
  <c r="M343" i="1"/>
  <c r="M339" i="1"/>
  <c r="M335" i="1"/>
  <c r="M327" i="1"/>
  <c r="M319" i="1"/>
  <c r="M315" i="1"/>
  <c r="M307" i="1"/>
  <c r="M295" i="1"/>
  <c r="M287" i="1"/>
  <c r="M279" i="1"/>
  <c r="M275" i="1"/>
  <c r="M251" i="1"/>
  <c r="M243" i="1"/>
  <c r="M235" i="1"/>
  <c r="M231" i="1"/>
  <c r="M223" i="1"/>
  <c r="M215" i="1"/>
  <c r="M207" i="1"/>
  <c r="M199" i="1"/>
  <c r="M191" i="1"/>
  <c r="M187" i="1"/>
  <c r="M175" i="1"/>
  <c r="M171" i="1"/>
  <c r="M167" i="1"/>
  <c r="M147" i="1"/>
  <c r="M139" i="1"/>
  <c r="M135" i="1"/>
  <c r="M127" i="1"/>
  <c r="M123" i="1"/>
  <c r="M115" i="1"/>
  <c r="M111" i="1"/>
  <c r="M107" i="1"/>
  <c r="M103" i="1"/>
  <c r="M95" i="1"/>
  <c r="M91" i="1"/>
  <c r="M87" i="1"/>
  <c r="M59" i="1"/>
  <c r="M51" i="1"/>
  <c r="M47" i="1"/>
  <c r="M43" i="1"/>
  <c r="M39" i="1"/>
  <c r="M23" i="1"/>
  <c r="M15" i="1"/>
  <c r="M195" i="1"/>
  <c r="M597" i="1"/>
  <c r="M589" i="1"/>
  <c r="M581" i="1"/>
  <c r="M573" i="1"/>
  <c r="M565" i="1"/>
  <c r="M557" i="1"/>
  <c r="M549" i="1"/>
  <c r="M541" i="1"/>
  <c r="M533" i="1"/>
  <c r="M525" i="1"/>
  <c r="M517" i="1"/>
  <c r="M513" i="1"/>
  <c r="M509" i="1"/>
  <c r="M505" i="1"/>
  <c r="M501" i="1"/>
  <c r="M497" i="1"/>
  <c r="M493" i="1"/>
  <c r="M489" i="1"/>
  <c r="M485" i="1"/>
  <c r="M481" i="1"/>
  <c r="M477" i="1"/>
  <c r="M473" i="1"/>
  <c r="M469" i="1"/>
  <c r="M465" i="1"/>
  <c r="M461" i="1"/>
  <c r="M457" i="1"/>
  <c r="M453" i="1"/>
  <c r="M449" i="1"/>
  <c r="M445" i="1"/>
  <c r="M441" i="1"/>
  <c r="M437" i="1"/>
  <c r="M433" i="1"/>
  <c r="M429" i="1"/>
  <c r="M425" i="1"/>
  <c r="M421" i="1"/>
  <c r="M417" i="1"/>
  <c r="M413" i="1"/>
  <c r="M409" i="1"/>
  <c r="M405" i="1"/>
  <c r="M401" i="1"/>
  <c r="M397" i="1"/>
  <c r="M393" i="1"/>
  <c r="M389" i="1"/>
  <c r="M385" i="1"/>
  <c r="M381" i="1"/>
  <c r="M377" i="1"/>
  <c r="M373" i="1"/>
  <c r="M369" i="1"/>
  <c r="M365" i="1"/>
  <c r="M361" i="1"/>
  <c r="M357" i="1"/>
  <c r="M353" i="1"/>
  <c r="M349" i="1"/>
  <c r="M345" i="1"/>
  <c r="M341" i="1"/>
  <c r="M337" i="1"/>
  <c r="M333" i="1"/>
  <c r="M329" i="1"/>
  <c r="M325" i="1"/>
  <c r="M321" i="1"/>
  <c r="M317" i="1"/>
  <c r="M313" i="1"/>
  <c r="M309" i="1"/>
  <c r="M305" i="1"/>
  <c r="M301" i="1"/>
  <c r="M297" i="1"/>
  <c r="M293" i="1"/>
  <c r="M289" i="1"/>
  <c r="M285" i="1"/>
  <c r="M281" i="1"/>
  <c r="M277" i="1"/>
  <c r="M273" i="1"/>
  <c r="M269" i="1"/>
  <c r="M265" i="1"/>
  <c r="M261" i="1"/>
  <c r="M257" i="1"/>
  <c r="M253" i="1"/>
  <c r="M249" i="1"/>
  <c r="M245" i="1"/>
  <c r="M241" i="1"/>
  <c r="M237" i="1"/>
  <c r="M233" i="1"/>
  <c r="M229" i="1"/>
  <c r="M225" i="1"/>
  <c r="M221" i="1"/>
  <c r="M217" i="1"/>
  <c r="M213" i="1"/>
  <c r="M209" i="1"/>
  <c r="M205" i="1"/>
  <c r="M201" i="1"/>
  <c r="M197" i="1"/>
  <c r="M193" i="1"/>
  <c r="M189" i="1"/>
  <c r="M185" i="1"/>
  <c r="M181" i="1"/>
  <c r="M177" i="1"/>
  <c r="M173" i="1"/>
  <c r="M169" i="1"/>
  <c r="M165" i="1"/>
  <c r="M161" i="1"/>
  <c r="M157" i="1"/>
  <c r="M153" i="1"/>
  <c r="M149" i="1"/>
  <c r="M145" i="1"/>
  <c r="M141" i="1"/>
  <c r="M137" i="1"/>
  <c r="M133" i="1"/>
  <c r="M129" i="1"/>
  <c r="M125" i="1"/>
  <c r="M121" i="1"/>
  <c r="M117" i="1"/>
  <c r="M113" i="1"/>
  <c r="M109" i="1"/>
  <c r="M105" i="1"/>
  <c r="M101" i="1"/>
  <c r="M97" i="1"/>
  <c r="M93" i="1"/>
  <c r="M89" i="1"/>
  <c r="M85" i="1"/>
  <c r="M81" i="1"/>
  <c r="M77" i="1"/>
  <c r="M73" i="1"/>
  <c r="M69" i="1"/>
  <c r="M65" i="1"/>
  <c r="M61" i="1"/>
  <c r="M57" i="1"/>
  <c r="M53" i="1"/>
  <c r="M49" i="1"/>
  <c r="M45" i="1"/>
  <c r="M41" i="1"/>
  <c r="M37" i="1"/>
  <c r="M33" i="1"/>
  <c r="M29" i="1"/>
  <c r="M25" i="1"/>
  <c r="M21" i="1"/>
  <c r="M17" i="1"/>
  <c r="M13" i="1"/>
  <c r="M9" i="1"/>
  <c r="M5" i="1"/>
  <c r="M593" i="1"/>
  <c r="M561" i="1"/>
  <c r="M529" i="1"/>
  <c r="M259" i="1"/>
  <c r="M131" i="1"/>
  <c r="M3" i="1"/>
</calcChain>
</file>

<file path=xl/sharedStrings.xml><?xml version="1.0" encoding="utf-8"?>
<sst xmlns="http://schemas.openxmlformats.org/spreadsheetml/2006/main" count="4797" uniqueCount="1687">
  <si>
    <t>Title</t>
  </si>
  <si>
    <t>Episode Date</t>
  </si>
  <si>
    <t>Source</t>
  </si>
  <si>
    <t>MP3 File Name or Rerun Date</t>
  </si>
  <si>
    <t>Season</t>
  </si>
  <si>
    <t>Episode</t>
  </si>
  <si>
    <t>Special Event</t>
  </si>
  <si>
    <t>Code</t>
  </si>
  <si>
    <t>Episode 001 - The Pilot / Wired</t>
  </si>
  <si>
    <t>Nowhere</t>
  </si>
  <si>
    <t>Season 1</t>
  </si>
  <si>
    <t>Episode 1</t>
  </si>
  <si>
    <t>EP</t>
  </si>
  <si>
    <t>Episode 002 - Number One with a Bullet</t>
  </si>
  <si>
    <t>Archive</t>
  </si>
  <si>
    <t>Episode002-NumberOneWithABullet</t>
  </si>
  <si>
    <t>Episode 2</t>
  </si>
  <si>
    <t>Episode 003 - The Pack</t>
  </si>
  <si>
    <t>Episode003-ThePack</t>
  </si>
  <si>
    <t>Episode 3</t>
  </si>
  <si>
    <t>Episode 004 - Congo</t>
  </si>
  <si>
    <t>Episode004-Congo</t>
  </si>
  <si>
    <t>Episode 4</t>
  </si>
  <si>
    <t>Episode 005 - Psychomania</t>
  </si>
  <si>
    <t>Episode005-Psychomania</t>
  </si>
  <si>
    <t>Episode 5</t>
  </si>
  <si>
    <t>Episode 006 - The Hand</t>
  </si>
  <si>
    <t>Episode006-TheHand</t>
  </si>
  <si>
    <t>Episode 6</t>
  </si>
  <si>
    <t>Episode 007 - K-9</t>
  </si>
  <si>
    <t>Episode007-K-9</t>
  </si>
  <si>
    <t>Episode 7</t>
  </si>
  <si>
    <t>WHM Onâ€‹-â€‹Screen: The Oscars 2011</t>
  </si>
  <si>
    <t>OnScreen-Oscars2011</t>
  </si>
  <si>
    <t>OS</t>
  </si>
  <si>
    <t>Episode 008 - The Wrong Guys</t>
  </si>
  <si>
    <t>Episode008-TheWrongGuys</t>
  </si>
  <si>
    <t>Episode 8</t>
  </si>
  <si>
    <t>Episode 009 - Dead Heat</t>
  </si>
  <si>
    <t>Episode009-DeadHeat</t>
  </si>
  <si>
    <t>Episode 9</t>
  </si>
  <si>
    <t>Episode 010 - Evilspeak</t>
  </si>
  <si>
    <t>Episode010-Evilspeak</t>
  </si>
  <si>
    <t>Episode 10</t>
  </si>
  <si>
    <t>Episode 011 - Gone Fishin'</t>
  </si>
  <si>
    <t>Episode011-GoneFishin</t>
  </si>
  <si>
    <t>Episode 11</t>
  </si>
  <si>
    <t>Episode 012 - The Net</t>
  </si>
  <si>
    <t>Episode012-TheNet</t>
  </si>
  <si>
    <t>Episode 12</t>
  </si>
  <si>
    <t>Episode 013 - Superman III &amp; IV Part One</t>
  </si>
  <si>
    <t>Episode013-Superman3and4Part1</t>
  </si>
  <si>
    <t>Episode 13</t>
  </si>
  <si>
    <t>Summer Blockbuster Extravaganza 2011</t>
  </si>
  <si>
    <t>Episode 014 - Superman III &amp; IV Part Two</t>
  </si>
  <si>
    <t>Episode014-Superman3and4Part2</t>
  </si>
  <si>
    <t>Episode 14</t>
  </si>
  <si>
    <t>Episode 015 - Boys and Girls</t>
  </si>
  <si>
    <t>Episode015-BoysAndGirls</t>
  </si>
  <si>
    <t>Episode 15</t>
  </si>
  <si>
    <t>Side Order of Sleaze 01 - Young Cycle Girls</t>
  </si>
  <si>
    <t>Sleaze1-YoungCycleGirls</t>
  </si>
  <si>
    <t>SL</t>
  </si>
  <si>
    <t>Episode 016 - Fuzz</t>
  </si>
  <si>
    <t>Episode016-Fuzz</t>
  </si>
  <si>
    <t>Episode 16</t>
  </si>
  <si>
    <t>Episode 017 - Deep Impact</t>
  </si>
  <si>
    <t>Episode017-DeepImpact</t>
  </si>
  <si>
    <t>Episode 17</t>
  </si>
  <si>
    <t>Episode 018 - Captain America (1990)</t>
  </si>
  <si>
    <t>Episode018-Captain America1990</t>
  </si>
  <si>
    <t>Episode 18</t>
  </si>
  <si>
    <t>Episode 019 - The Best of the Worst of Summer 2011</t>
  </si>
  <si>
    <t>Episode019-TheBestOfTheWorstOfSummer2011</t>
  </si>
  <si>
    <t>Episode 19</t>
  </si>
  <si>
    <t>Side Order of Sleaze 02 - Night of the Demon</t>
  </si>
  <si>
    <t>Sleaze2-NightOfTheDemon</t>
  </si>
  <si>
    <t>Episode 020 - Deadlock</t>
  </si>
  <si>
    <t>Episode020-Deadlock</t>
  </si>
  <si>
    <t>Episode 20</t>
  </si>
  <si>
    <t>WHM Deleted Scene - The Hangover Part II</t>
  </si>
  <si>
    <t>WHMDeletedScene-TheHangover2</t>
  </si>
  <si>
    <t>BO</t>
  </si>
  <si>
    <t>Episode 021 - The Principal</t>
  </si>
  <si>
    <t>Episode021-ThePrincipal</t>
  </si>
  <si>
    <t>Episode 21</t>
  </si>
  <si>
    <t>Episode 022 - 18 Again!</t>
  </si>
  <si>
    <t>Episode022-18Again</t>
  </si>
  <si>
    <t>Season 2</t>
  </si>
  <si>
    <t>WHM Interview: Stephen Tobolowsky</t>
  </si>
  <si>
    <t>Interview-StephenTobolowsky</t>
  </si>
  <si>
    <t>IN</t>
  </si>
  <si>
    <t>Episode 023 - A Shock to the System</t>
  </si>
  <si>
    <t>Episode023-AShockToTheSystem</t>
  </si>
  <si>
    <t>Episode 024 - The Ewok Adventure</t>
  </si>
  <si>
    <t>Episode024-TheEwokAdventure</t>
  </si>
  <si>
    <t>Episode 025 - I Come in Peace</t>
  </si>
  <si>
    <t>Episode025-IComeInPeace</t>
  </si>
  <si>
    <t>Episode 026 - Visiting Hours</t>
  </si>
  <si>
    <t>Episode026-VisitingHours</t>
  </si>
  <si>
    <t>Halloween Spooktacular 2011</t>
  </si>
  <si>
    <t>Episode 027 - Wolf</t>
  </si>
  <si>
    <t>Episode027-Wolf</t>
  </si>
  <si>
    <t>Episode 028 - 976-EVIL</t>
  </si>
  <si>
    <t>Episode028-879-EVIL</t>
  </si>
  <si>
    <t>WHM Interview: Michael J Nelson</t>
  </si>
  <si>
    <t>Interview-MST3KMichaelJNelson</t>
  </si>
  <si>
    <t>Episode 029 - The Haunting</t>
  </si>
  <si>
    <t>Main Feed</t>
  </si>
  <si>
    <t>Halloween Spooktacular 2011 / Summer Rerun 2016</t>
  </si>
  <si>
    <t>Episode 030 - Babycakes</t>
  </si>
  <si>
    <t>Episode030-Babycakes</t>
  </si>
  <si>
    <t>Episode 031 - Judge Dredd</t>
  </si>
  <si>
    <t>Summer Rerun 2015</t>
  </si>
  <si>
    <t>Episode 032 - No Retreat, No Surrender</t>
  </si>
  <si>
    <t>Episode032-NoRetreatNoSurrender</t>
  </si>
  <si>
    <t>Episode 033 - Ewoks: The Battle for Endor</t>
  </si>
  <si>
    <t>Summer Rerun 2014</t>
  </si>
  <si>
    <t>Episode 034 - Poison Ivy</t>
  </si>
  <si>
    <t>Episode034-PoisonIvy</t>
  </si>
  <si>
    <t>Episode 035 - Wired: The Return</t>
  </si>
  <si>
    <t>Episode035-WiredTheReturn</t>
  </si>
  <si>
    <t>Episode 036 - The Conqueror</t>
  </si>
  <si>
    <t>Episode036-TheConqueror</t>
  </si>
  <si>
    <t>Episode 037 - Jack Frost (1998)</t>
  </si>
  <si>
    <t>Episode037-JackFrost1998</t>
  </si>
  <si>
    <t>Side Order of Sleaze 03 - Jack Frost (1997)</t>
  </si>
  <si>
    <t>Sleaze3-JackFrost1997</t>
  </si>
  <si>
    <t>Episode 038 - Money Train</t>
  </si>
  <si>
    <t>Episode038-MoneyTrain</t>
  </si>
  <si>
    <t>Episode 039 - The Adventures of Ford Fairlane</t>
  </si>
  <si>
    <t>Episode039-AdventuresOfFordFairlane</t>
  </si>
  <si>
    <t>Listener Request Month 1</t>
  </si>
  <si>
    <t>Episode 040 - Hider in the House</t>
  </si>
  <si>
    <t>Episode040-HiderInTheHouse</t>
  </si>
  <si>
    <t>Episode 041 - Halloween III: Season of the Witch</t>
  </si>
  <si>
    <t>Listener Request Month 1 / Summer Rerun 2016</t>
  </si>
  <si>
    <t>WHM Interview: Joel Hodgson</t>
  </si>
  <si>
    <t>Interview-MST3KJoelHodgson</t>
  </si>
  <si>
    <t>Episode 042 - Zandalee</t>
  </si>
  <si>
    <t>Episode042-Zandalee</t>
  </si>
  <si>
    <t>Episode 043 - Vampire in Brooklyn</t>
  </si>
  <si>
    <t>Episode043-VampireInBrooklyn</t>
  </si>
  <si>
    <t>Episode 22</t>
  </si>
  <si>
    <t>Episode 044 - Star Wars Episode 1: The Phantom Menace</t>
  </si>
  <si>
    <t>Episode 23</t>
  </si>
  <si>
    <t>Episode 045 - Deadly Friend</t>
  </si>
  <si>
    <t>Episode045-DeadlyFriend</t>
  </si>
  <si>
    <t>Episode 24</t>
  </si>
  <si>
    <t>Episode 046 - Nukie</t>
  </si>
  <si>
    <t>Episode046-Nukie</t>
  </si>
  <si>
    <t>Episode 25</t>
  </si>
  <si>
    <t>Episode 047 - Cop and a Half</t>
  </si>
  <si>
    <t>Episode047-CopAndAHalf</t>
  </si>
  <si>
    <t>Episode 26</t>
  </si>
  <si>
    <t>Episode 048 - Off Beat</t>
  </si>
  <si>
    <t>Episode048-OffBeat</t>
  </si>
  <si>
    <t>Episode 27</t>
  </si>
  <si>
    <t>Episode 049 - Hackers</t>
  </si>
  <si>
    <t>Episode049-Hackers</t>
  </si>
  <si>
    <t>Episode 28</t>
  </si>
  <si>
    <t>Episode 050 - No Holds Barred</t>
  </si>
  <si>
    <t>Episode050-NoHoldsBarred</t>
  </si>
  <si>
    <t>Episode 29</t>
  </si>
  <si>
    <t>Episode 051 - Senseless</t>
  </si>
  <si>
    <t>Episode051-Senseless</t>
  </si>
  <si>
    <t>Episode 30</t>
  </si>
  <si>
    <t>Episode 052 - Mr. Destiny</t>
  </si>
  <si>
    <t>Episode052-MrDestiny</t>
  </si>
  <si>
    <t>Episode 31</t>
  </si>
  <si>
    <t>Episode 053 - Free Enterprise</t>
  </si>
  <si>
    <t>Episode053-FreeEnterprise</t>
  </si>
  <si>
    <t>Episode 32</t>
  </si>
  <si>
    <t>Episode 054 - Gymkata</t>
  </si>
  <si>
    <t>Episode054-Gymkata</t>
  </si>
  <si>
    <t>Episode 33</t>
  </si>
  <si>
    <t>Episode 055 - Rocky IV</t>
  </si>
  <si>
    <t>Episode 34</t>
  </si>
  <si>
    <t>Episode 056 - The Philadelphia Experiment II</t>
  </si>
  <si>
    <t>Episode056-ThePhiladelphiaExperiment2</t>
  </si>
  <si>
    <t>Episode 35</t>
  </si>
  <si>
    <t>Episode 057 - The Glass House</t>
  </si>
  <si>
    <t>Episode057-TheGlassHouse</t>
  </si>
  <si>
    <t>Episode 36</t>
  </si>
  <si>
    <t>Episode 058 - Undercover Blues</t>
  </si>
  <si>
    <t>Episode058-UndercoverBlues</t>
  </si>
  <si>
    <t>Episode 37</t>
  </si>
  <si>
    <t>Episode 059 - The New Adventures of Pippi Longstocking</t>
  </si>
  <si>
    <t>Episode 38</t>
  </si>
  <si>
    <t>Episode 060 - The Skulls</t>
  </si>
  <si>
    <t>Episode060-TheSkulls</t>
  </si>
  <si>
    <t>Episode 39</t>
  </si>
  <si>
    <t>Episode 061 - Men in Black II</t>
  </si>
  <si>
    <t>Episode061-MenInBlack2</t>
  </si>
  <si>
    <t>Episode 40</t>
  </si>
  <si>
    <t>Summer Blockbuster Extravaganza 2012</t>
  </si>
  <si>
    <t>Episode 062 - Cocoon</t>
  </si>
  <si>
    <t>Episode062-Cocoon</t>
  </si>
  <si>
    <t>Episode 41</t>
  </si>
  <si>
    <t>Episode 063 - Jaws: The Revenge</t>
  </si>
  <si>
    <t>Episode063-JawsTheRevenge</t>
  </si>
  <si>
    <t>Episode 42</t>
  </si>
  <si>
    <t>Episode 064 - The Next Karate Kid</t>
  </si>
  <si>
    <t>Episode064-TheNextKarateKid</t>
  </si>
  <si>
    <t>Episode 43</t>
  </si>
  <si>
    <t>Episode 065 - Nine Months</t>
  </si>
  <si>
    <t>Episode065-NineMonths</t>
  </si>
  <si>
    <t>Episode 44</t>
  </si>
  <si>
    <t>Episode 066 - Inspector Gadget</t>
  </si>
  <si>
    <t>Episode066-InspectorGadget</t>
  </si>
  <si>
    <t>Episode 45</t>
  </si>
  <si>
    <t>Episode 067 - Spawn</t>
  </si>
  <si>
    <t>Episode067-Spawn</t>
  </si>
  <si>
    <t>Episode 46</t>
  </si>
  <si>
    <t>Episode 068 - Reign of Fire</t>
  </si>
  <si>
    <t>Episode068-ReignOfFire</t>
  </si>
  <si>
    <t>Episode 47</t>
  </si>
  <si>
    <t>Episode 069 - Twister</t>
  </si>
  <si>
    <t>Episode069-Twister</t>
  </si>
  <si>
    <t>Episode 48</t>
  </si>
  <si>
    <t>Episode 070 - Kill Crazy</t>
  </si>
  <si>
    <t>Episode070-KillCrazy</t>
  </si>
  <si>
    <t>Episode 49</t>
  </si>
  <si>
    <t>Episode 071 - Mo' Money</t>
  </si>
  <si>
    <t>Episode071-MoMoney</t>
  </si>
  <si>
    <t>Episode 50</t>
  </si>
  <si>
    <t>Episode 072 - Dracula 2000</t>
  </si>
  <si>
    <t>Episode 51</t>
  </si>
  <si>
    <t>Summer Rerun 2016</t>
  </si>
  <si>
    <t>Episode 073 - Rock 'n' Roll High School Forever</t>
  </si>
  <si>
    <t>Episode073-RocknRollHighSchoolForever</t>
  </si>
  <si>
    <t>Episode 52</t>
  </si>
  <si>
    <t>WHM Commentary 01: C.H.U.D.mentary</t>
  </si>
  <si>
    <t>Purchase</t>
  </si>
  <si>
    <t>https://store.cdbaby.com/cd/wehatemovies</t>
  </si>
  <si>
    <t>Season 3</t>
  </si>
  <si>
    <t>CM</t>
  </si>
  <si>
    <t>Episode 074 - Invisible Child</t>
  </si>
  <si>
    <t>Listener Request Month 2 / Summer Rerun 2014</t>
  </si>
  <si>
    <t>WHM Mailbag - Chicken 'n' CHUD</t>
  </si>
  <si>
    <t>Mailbag-ChickennChud</t>
  </si>
  <si>
    <t>MB</t>
  </si>
  <si>
    <t>Episode 075 - Perfect Stranger</t>
  </si>
  <si>
    <t>Episode075-Perfect Stranger</t>
  </si>
  <si>
    <t>Listener Request Month 2</t>
  </si>
  <si>
    <t>Episode 076 - Never Too Young to Die</t>
  </si>
  <si>
    <t>Episode076-NeverTooYoungToDie</t>
  </si>
  <si>
    <t>Episode 077 - Heart Condition</t>
  </si>
  <si>
    <t>Episode077-HeartCondition</t>
  </si>
  <si>
    <t>Episode 078 - Silver Bullet</t>
  </si>
  <si>
    <t>Listener Request Month 2 / Summer Rerun 2016</t>
  </si>
  <si>
    <t>Episode 079 - Ghost in the Machine</t>
  </si>
  <si>
    <t>Episode079-GhostInTheMachine</t>
  </si>
  <si>
    <t>Halloween Spooktacular 2012</t>
  </si>
  <si>
    <t>Episode 080 - Friday the 13th - Part V: A New Beginning</t>
  </si>
  <si>
    <t>Episode 081 - Bordello of Blood</t>
  </si>
  <si>
    <t>Episode081-BordelloOfBlood</t>
  </si>
  <si>
    <t>Episode 082 - Bless the Child</t>
  </si>
  <si>
    <t>Episode082-BlessTheChild</t>
  </si>
  <si>
    <t>Episode 083 - K-911</t>
  </si>
  <si>
    <t>Episode083-K-911</t>
  </si>
  <si>
    <t>Episode 084 - Die Another Day</t>
  </si>
  <si>
    <t>Episode084-DieAnotherDay</t>
  </si>
  <si>
    <t>Episode 085 - Madhouse</t>
  </si>
  <si>
    <t>Episode085-Madhouse</t>
  </si>
  <si>
    <t>Episode 086 - Star Trek: Insurrection</t>
  </si>
  <si>
    <t>Summer Rerun 2017</t>
  </si>
  <si>
    <t>Episode 087 - Indiana Jones and the Kingdom of the Crystal Skull</t>
  </si>
  <si>
    <t>Episode 088 - Eight Crazy Nights</t>
  </si>
  <si>
    <t>Episode 089 - The Rapture</t>
  </si>
  <si>
    <t>Episode089-TheRapture</t>
  </si>
  <si>
    <t>Episode 090 - One Magic Christmas</t>
  </si>
  <si>
    <t>Episode 091 - Step Up Revolution</t>
  </si>
  <si>
    <t>Episode091-StepUpRevolution</t>
  </si>
  <si>
    <t>Worst of 2012</t>
  </si>
  <si>
    <t>Episode 092 - The Raven</t>
  </si>
  <si>
    <t>Episode092-TheRaven</t>
  </si>
  <si>
    <t>Episode 093 - Alex Cross</t>
  </si>
  <si>
    <t>Episode093-AlexCross</t>
  </si>
  <si>
    <t>Episode 094 - Tooth Fairy 2</t>
  </si>
  <si>
    <t>Episode094-ToothFairy2</t>
  </si>
  <si>
    <t>Episode 095 - This Means War</t>
  </si>
  <si>
    <t>Episode095-ThisMeansWar</t>
  </si>
  <si>
    <t>Episode 096 - On Deadly Ground (Live)</t>
  </si>
  <si>
    <t>Episode096-OnDeadlyGroundLive</t>
  </si>
  <si>
    <t>Live - The Peoples Improv Theater, NYC (NYC Podfest) - 2013-01-13</t>
  </si>
  <si>
    <t>Episode 097 - Tuff Turf</t>
  </si>
  <si>
    <t>Episode 098 - Aspen Extreme</t>
  </si>
  <si>
    <t>Episode098-AspenExtreme</t>
  </si>
  <si>
    <t>Episode 099 - Freejack</t>
  </si>
  <si>
    <t>Episode 100 - Taking Care of Business</t>
  </si>
  <si>
    <t>Episode100-TakingCareOfBusiness</t>
  </si>
  <si>
    <t>Episode 101 - The Pallbearer</t>
  </si>
  <si>
    <t>Episode101-ThePallbearer</t>
  </si>
  <si>
    <t>Episode 102 - Batman Forever</t>
  </si>
  <si>
    <t>Episode 103 - Best of the Best 2</t>
  </si>
  <si>
    <t>Episode103-BestOfTheBest2</t>
  </si>
  <si>
    <t>Episode 104 - Cat People (1982)</t>
  </si>
  <si>
    <t>Episode104-CatPeople1982</t>
  </si>
  <si>
    <t>Episode 105 - Addicted to Love</t>
  </si>
  <si>
    <t>Episode 106 - Virtuosity</t>
  </si>
  <si>
    <t>Episode106-Virtuosity</t>
  </si>
  <si>
    <t>Episode 107 - Walking Tall (1973)</t>
  </si>
  <si>
    <t>Episode107-WalkingTall</t>
  </si>
  <si>
    <t>Episode 108 - The Mating Habits of the Earthbound Human</t>
  </si>
  <si>
    <t>Episode108-TheMatingHabitsOfTheEarthboundHuman</t>
  </si>
  <si>
    <t>Episode 109 - The Boondock Saints II: All Saints Day</t>
  </si>
  <si>
    <t>Listener Request Month 3</t>
  </si>
  <si>
    <t>Episode 110 - Foodfight!</t>
  </si>
  <si>
    <t>Episode 111 - Houseguest</t>
  </si>
  <si>
    <t>Episode 112 - Maniac Cop 3: Badge of Silence</t>
  </si>
  <si>
    <t>Episode 113 - Godzilla</t>
  </si>
  <si>
    <t>Summer Blockbuster Extravaganza 2013</t>
  </si>
  <si>
    <t>Episode 114 - Steel</t>
  </si>
  <si>
    <t>Episode 115 - Bad Boys II</t>
  </si>
  <si>
    <t>Episode 116 - Jaws 3D</t>
  </si>
  <si>
    <t>Episode 117 - S.W.A.T.</t>
  </si>
  <si>
    <t>WHM Onâ€‹-â€‹Screen: Sâ€‹.â€‹Wâ€‹.â€‹Aâ€‹.â€‹T. Firefight</t>
  </si>
  <si>
    <t>OnScreen-SWATFirefight</t>
  </si>
  <si>
    <t>App/Bandcamp</t>
  </si>
  <si>
    <t>WHM On-Screen: The Best &amp; Worst of Arnold Schwarzenegger</t>
  </si>
  <si>
    <t>OnScreen-BestArnoldSchwarzenegger</t>
  </si>
  <si>
    <t>App</t>
  </si>
  <si>
    <t>Episode 118 - The Running Man</t>
  </si>
  <si>
    <t>WHM Onâ€‹-â€‹Screen: The Great Gatsby</t>
  </si>
  <si>
    <t>OnScreen-TheGreatGatsby</t>
  </si>
  <si>
    <t>Episode 119 - Volcano</t>
  </si>
  <si>
    <t>WHM Onâ€‹-â€‹Screen: Star Trek Into Darkness</t>
  </si>
  <si>
    <t>OnScreen-StarTrekIntoDarkness</t>
  </si>
  <si>
    <t>Episode 120 - She's All That</t>
  </si>
  <si>
    <t>Episode 121 - Grown Ups 2</t>
  </si>
  <si>
    <t>WHM Onâ€‹-â€‹Screen: Top 5 Movie Deaths</t>
  </si>
  <si>
    <t>OnScreen-Top5MovieDeaths</t>
  </si>
  <si>
    <t>WHM Mailbag: Bad Boyfriends &amp; Belushi Cults</t>
  </si>
  <si>
    <t>WHM Live: Cocoon: The Return</t>
  </si>
  <si>
    <t>Live-CocoonTheReturn</t>
  </si>
  <si>
    <t>Live - The Peoples Improv Theater, NYC - 2013-05-24 / App</t>
  </si>
  <si>
    <t>Side Order of Sleaze 04 - Truth or Dare: A Critical Madness</t>
  </si>
  <si>
    <t>Sleaze4-TruthOrDare</t>
  </si>
  <si>
    <t>WHM Onâ€‹-â€‹Screen: Batfleck &amp; Beyond</t>
  </si>
  <si>
    <t>OnScreen-BatfleckAndBeyond</t>
  </si>
  <si>
    <t>Episode 122 - Only the Strong</t>
  </si>
  <si>
    <t>Season 4</t>
  </si>
  <si>
    <t>WHM Sampler</t>
  </si>
  <si>
    <t>WHM On-Screen: The Gang Breaks Bad</t>
  </si>
  <si>
    <t>Episode 123 - Cliffhanger (Live)</t>
  </si>
  <si>
    <t>Live - The Peoples Improv Theater, NYC - 2013-07-27 / WHM Sampler</t>
  </si>
  <si>
    <t>Side Order of Sleaze 05 - School Spirit</t>
  </si>
  <si>
    <t>Episode 124 - New Nightmare</t>
  </si>
  <si>
    <t>Halloween Spooktacular 2013</t>
  </si>
  <si>
    <t>WHM Onâ€‹-â€‹Screen: Goodbye Breaking Bad</t>
  </si>
  <si>
    <t>OnScreen-GoodbyeBreakingBad</t>
  </si>
  <si>
    <t>Episode 125 - Body Parts</t>
  </si>
  <si>
    <t>Episode 126 - Cat's Eye</t>
  </si>
  <si>
    <t>Episode 127 - Chopping Mall</t>
  </si>
  <si>
    <t>Episode 128 - Casper</t>
  </si>
  <si>
    <t>WHM Onâ€‹-â€‹Screen: Casper: A Spirited Beginning</t>
  </si>
  <si>
    <t>OnScreen-CasperASpiritedBeginning</t>
  </si>
  <si>
    <t>App/Bandcamp / Halloween Spooktacular 2013</t>
  </si>
  <si>
    <t>Episode 129 - Scream 3 (Live)</t>
  </si>
  <si>
    <t>Live - The Peoples Improv Theater, NYC - 2013-10-17 / Halloween Spooktacular 2013</t>
  </si>
  <si>
    <t>Episode 130 - Stay Tuned</t>
  </si>
  <si>
    <t>Stay Tuned Month</t>
  </si>
  <si>
    <t>Episode 131 - Deep Blue Sea</t>
  </si>
  <si>
    <t>Episode 132 - China O'Brien</t>
  </si>
  <si>
    <t>Episode 133 - Copycat</t>
  </si>
  <si>
    <t>Episode 134 - Date with an Angel</t>
  </si>
  <si>
    <t>Episode 135 - Ghostbusters II</t>
  </si>
  <si>
    <t>Animation Damnation 01 - He-Man and She-Ra: A Christmas Special</t>
  </si>
  <si>
    <t>AD</t>
  </si>
  <si>
    <t>Episode 136 - The Good Son</t>
  </si>
  <si>
    <t>Episode 137 - Jingle All the Way</t>
  </si>
  <si>
    <t>WHM Onâ€‹-â€‹Screen: The Star Wars Holiday Special</t>
  </si>
  <si>
    <t>App/Bandcamp / Star Wars Week 2015</t>
  </si>
  <si>
    <t>Episode 138 - The Core</t>
  </si>
  <si>
    <t>Episode 139 - After Earth</t>
  </si>
  <si>
    <t>Worst of 2013</t>
  </si>
  <si>
    <t>Episode 140 - Easy Rider: The Ride Back</t>
  </si>
  <si>
    <t>Episode 141 - Getaway</t>
  </si>
  <si>
    <t>Episode 142 - A Good Day to Die Hard</t>
  </si>
  <si>
    <t>Episode 143 - Pray for Death</t>
  </si>
  <si>
    <t>Listener Request Month 2014</t>
  </si>
  <si>
    <t>Episode 144 - Masters of the Universe (Live)</t>
  </si>
  <si>
    <t>Live - The Peoples Improv Theater, NYC - 2014-01-29</t>
  </si>
  <si>
    <t>Episode 145 - Hard Target</t>
  </si>
  <si>
    <t>Side Order of Sleaze 06 - Bloody Birthday</t>
  </si>
  <si>
    <t>Sleaze6-BloodyBirthday</t>
  </si>
  <si>
    <t>Episode 146 - Mrs. Doubtfire</t>
  </si>
  <si>
    <t>Episode 147 - Blame it on Rio</t>
  </si>
  <si>
    <t>Animation Damnation 02 - Teen Wolf: "Teen Wolf's Family Secret"</t>
  </si>
  <si>
    <t>AD02-TeenWolf</t>
  </si>
  <si>
    <t>Episode 148 - Canvas</t>
  </si>
  <si>
    <t>WHM Onâ€‹-â€‹Screen: True Detective</t>
  </si>
  <si>
    <t>OnScreen-TrueDetective</t>
  </si>
  <si>
    <t>Episode 149 - Dreamcatcher</t>
  </si>
  <si>
    <t>Episode 150 - My Science Project</t>
  </si>
  <si>
    <t>Episode 151 - North</t>
  </si>
  <si>
    <t>Episode 152 - Joysticks</t>
  </si>
  <si>
    <t>Episode 153 - The Karate Kid, Part III</t>
  </si>
  <si>
    <t>Animation Damnation 03 - The Karate Kid: "A Little World of His Own"</t>
  </si>
  <si>
    <t>AD03-TheKarateKid</t>
  </si>
  <si>
    <t>Episode 154 - Hail Caesar</t>
  </si>
  <si>
    <t>Episode 155 - Every Which Way But Loose</t>
  </si>
  <si>
    <t>Episode 156 - The Butterfly Effect</t>
  </si>
  <si>
    <t>Episode 157 - Abraxas, Guardian of the Universe</t>
  </si>
  <si>
    <t>Animation Damnation 04 - GI Joe: "Joe's Night Out"</t>
  </si>
  <si>
    <t>App/Bandcamp / Summer Rerun 2015</t>
  </si>
  <si>
    <t>WHM Commentary 02: Trekmentary: Nemesis</t>
  </si>
  <si>
    <t>https://store.cdbaby.com/cd/wehatemovies3</t>
  </si>
  <si>
    <t>Episode 158 - Hot Dogâ€¦The Movie</t>
  </si>
  <si>
    <t>Episode 159 - Hamburger: The Motion Picture</t>
  </si>
  <si>
    <t>WHM Onâ€‹-â€‹Screen: Mad Men, the Beginning of the End</t>
  </si>
  <si>
    <t>OnScreen-MadMenBeginningOfTheEnd</t>
  </si>
  <si>
    <t>Episode 160 - Mystery Men</t>
  </si>
  <si>
    <t>Summer Blockbuster Extravaganza 2014</t>
  </si>
  <si>
    <t>WHM Mailbag: Chuck E. Cheese, Vasectomies &amp; Divorce</t>
  </si>
  <si>
    <t>Episode 161 - Mortal Kombat</t>
  </si>
  <si>
    <t>Episode 162 - Swordfish</t>
  </si>
  <si>
    <t>Episode 163 - Catwoman</t>
  </si>
  <si>
    <t>Animation Damnation 05 - Star Trek: "The Magicks of Megas-Tu"</t>
  </si>
  <si>
    <t>Episode 164 - Stroker Ace</t>
  </si>
  <si>
    <t>Episode 165 - Planet of the Apes</t>
  </si>
  <si>
    <t>Episode 166 - The Day After Tomorrow</t>
  </si>
  <si>
    <t>WHM Mailbag: Nude-alities, Elderly Flashers &amp; Hell Mouths</t>
  </si>
  <si>
    <t>Episode 167 - Under Siege 2: Dark Territory</t>
  </si>
  <si>
    <t>Episode 168 - TMNT II: The Secret of the Ooze</t>
  </si>
  <si>
    <t>Animation Damnation 06 - Teenage Mutant Ninja Turtles: "Leatherhead: Terror of the Swamp"</t>
  </si>
  <si>
    <t>AD06-TMNTLeatherhead</t>
  </si>
  <si>
    <t>Episode 169 - The Substitute</t>
  </si>
  <si>
    <t>Season 5</t>
  </si>
  <si>
    <t>Episode 170 - Timecop</t>
  </si>
  <si>
    <t>Episode 171 - Secret Window</t>
  </si>
  <si>
    <t>Animation Damnation 07 - Sonic The Hedgehog: "Lovesick Sonic"</t>
  </si>
  <si>
    <t>AD07-SonicTheHedgehog</t>
  </si>
  <si>
    <t>Episode 172 - Double Dragon</t>
  </si>
  <si>
    <t>Episode 173 - C.H.U.D. II: Bud the C.H.U.D.</t>
  </si>
  <si>
    <t>Halloween Spooktacular 2014</t>
  </si>
  <si>
    <t>Episode 174 - Jason Goes to Hell: The Final Friday</t>
  </si>
  <si>
    <t>WHM Mailbag: John Lithgow, Jorts &amp; JCVD</t>
  </si>
  <si>
    <t>Episode 175 - I Still Know What You Did Last Summer</t>
  </si>
  <si>
    <t>Episode 176 - Child's Play 3</t>
  </si>
  <si>
    <t>Animation Damnation 08 - Gravedale High: "Monster on Trial"</t>
  </si>
  <si>
    <t>AD08-GravedaleHigh</t>
  </si>
  <si>
    <t>App/Bandcamp / Halloween Spooktacular 2014</t>
  </si>
  <si>
    <t>Episode 177 - Wild in the Streets</t>
  </si>
  <si>
    <t>Episode 178 - Johnny Mnemonic</t>
  </si>
  <si>
    <t>Animation Damnation 09 - Cartoon All-Stars to the Rescue</t>
  </si>
  <si>
    <t>Episode 179 - The Hand That Rocks the Cradle</t>
  </si>
  <si>
    <t>Side Order of Sleaze 07 - H.O.T.S.</t>
  </si>
  <si>
    <t>Episode 180 - Buried Alive</t>
  </si>
  <si>
    <t>Animation Damnation 10 - Transformers: "Thief in the Night"</t>
  </si>
  <si>
    <t>AD10-Transformers</t>
  </si>
  <si>
    <t>WHM Mailbag: Ninja Scroll, Angry Audiences &amp; Our Favorite Films</t>
  </si>
  <si>
    <t>Episode 181 - Three Men and a Baby</t>
  </si>
  <si>
    <t>Episode 182 - Jingle All the Way 2</t>
  </si>
  <si>
    <t>Episode 183 - Super Mario Bros.</t>
  </si>
  <si>
    <t>WHM On-Screen: The Interview</t>
  </si>
  <si>
    <t>WHM Commentary 03: Sucker Punchmentary</t>
  </si>
  <si>
    <t>https://store.cdbaby.com/cd/wehatemovies4</t>
  </si>
  <si>
    <t>WHM Mailbag: Hamsters, Hobbits &amp; Horrible Parents</t>
  </si>
  <si>
    <t>Episode 184 - Look Who's Talking Now</t>
  </si>
  <si>
    <t>Animation Damnation 11 - Life with Louie: "A Christmas Surprise for Mrs. Stillman"</t>
  </si>
  <si>
    <t>Episode 185 - I, Frankenstein</t>
  </si>
  <si>
    <t>Worst of 2014</t>
  </si>
  <si>
    <t>Episode 186 - Winter's Tale</t>
  </si>
  <si>
    <t>Animation Damnation 12 - Family Guy/Simpsons: "The Simpsons Guy"</t>
  </si>
  <si>
    <t>AD12-TheSimpsonsGuy</t>
  </si>
  <si>
    <t>App/Bandcamp / Worst of 2014</t>
  </si>
  <si>
    <t>WHM Onâ€‹-â€‹Screen: The 2015 Razzies</t>
  </si>
  <si>
    <t>OnScreen-2015RazzieAwards</t>
  </si>
  <si>
    <t>Episode 187 - Dracula Untold</t>
  </si>
  <si>
    <t>Episode 188 - Sabotage</t>
  </si>
  <si>
    <t>WHM Mailbag: Bad Dads, Bad Dates &amp; Bad Movie High</t>
  </si>
  <si>
    <t>Episode 189 - Taking Lives</t>
  </si>
  <si>
    <t>Episode 190 - Stigmata</t>
  </si>
  <si>
    <t>Animation Damnation 13 - Captain N: The Game Master: "Happy Birthday, Megaman"</t>
  </si>
  <si>
    <t>Episode 191 - Seventh Son</t>
  </si>
  <si>
    <t>WHM Mailbag: Pay Channel Porn, Private Ryan &amp; A Perverted History Teacher</t>
  </si>
  <si>
    <t>Episode 192 - White Noise</t>
  </si>
  <si>
    <t>Episode 193 - Teen Wolf Too</t>
  </si>
  <si>
    <t>Episode 194 - Fatal Beauty</t>
  </si>
  <si>
    <t>Episode 195 - Moontrap</t>
  </si>
  <si>
    <t>Animation Damnation 14 - Captain Planet and the Planeteers: "Talkin' Trash"</t>
  </si>
  <si>
    <t>Episode 196 - Twisted</t>
  </si>
  <si>
    <t>Episode 197 - Next of Kin</t>
  </si>
  <si>
    <t>WHM Mailbag: Embarrassed Dogs, Embarrassing Teachers &amp; Awkward Projection Tales</t>
  </si>
  <si>
    <t>Episode 198 - The Juror</t>
  </si>
  <si>
    <t>Episode 199 - Face/Off</t>
  </si>
  <si>
    <t>Episode 200 - Red Heat</t>
  </si>
  <si>
    <t>Animation Damnation 15 - Denver the Last Dinosaur: "Denver Makes the Grade"</t>
  </si>
  <si>
    <t>WHM Mailbag: Forgotten Films, Lame Roller Coasters &amp; An Encounter with Gene Shalit</t>
  </si>
  <si>
    <t>Episode 201 - Loverboy</t>
  </si>
  <si>
    <t>Episode 202 - Teen Witch</t>
  </si>
  <si>
    <t>Episode 203 - House Arrest</t>
  </si>
  <si>
    <t>WHM Interview: Gilbert Gottfried</t>
  </si>
  <si>
    <t>WHM Mailbag: Awkward Dates, Brave Moms &amp; Horrendous Theater Behavior</t>
  </si>
  <si>
    <t>Episode 204 - Blind Fury</t>
  </si>
  <si>
    <t>WHM On-Screen: The Conclusion of Mad Men</t>
  </si>
  <si>
    <t>Episode 205 - Space Jam</t>
  </si>
  <si>
    <t>Animation Damnation 16 - ProStars: "The Slugger Returns"</t>
  </si>
  <si>
    <t>Episode 206 - The Lost World: Jurassic Park</t>
  </si>
  <si>
    <t>Summer Blockbuster Extravaganza 2015</t>
  </si>
  <si>
    <t>Episode 207 - Stealth</t>
  </si>
  <si>
    <t>Episode 208 - Camp Nowhere</t>
  </si>
  <si>
    <t>Episode 209 - Son of the Mask</t>
  </si>
  <si>
    <t>Animation Damnation 17 - Pokemon: "The Ghost of Maiden's Peak"</t>
  </si>
  <si>
    <t>WHM Mailbag: Horrendous Films to See Before You Die, Pat Hingle &amp; Theater Creeps</t>
  </si>
  <si>
    <t>Episode 210 - Terminator 3: Rise of the Machines</t>
  </si>
  <si>
    <t>WHM On-Screen: Mission: Impossible</t>
  </si>
  <si>
    <t>WHMMissionImpossibleathon1</t>
  </si>
  <si>
    <t>App/Bandcamp / Summer Blockbuster Extravaganza 2015</t>
  </si>
  <si>
    <t>Episode 211 - Dragonheart</t>
  </si>
  <si>
    <t>Animation Damnation 18 - Duck Tales: "The Uncrashable Hindentanic"</t>
  </si>
  <si>
    <t>WHM On-Screen: Mission: Impossible II</t>
  </si>
  <si>
    <t>WHMMissionImpossibleathon2</t>
  </si>
  <si>
    <t>Episode 212 - The Matrix Revolutions</t>
  </si>
  <si>
    <t>WHM Onâ€‹-â€‹Screen: SD Comicâ€‹-â€‹Con 2015 News &amp; More!</t>
  </si>
  <si>
    <t>OnScreen-SDComicCon2015</t>
  </si>
  <si>
    <t>WHM On-Screen: Mission: Impossible III</t>
  </si>
  <si>
    <t>WHMMissionImpossibleathon3</t>
  </si>
  <si>
    <t>WHM Mailbag: Special Summer Camp Edition</t>
  </si>
  <si>
    <t>Episode 213 - The League of Extraordinary Gentlemen</t>
  </si>
  <si>
    <t>WHM On-Screen: Mission: Impossible - Ghost Protocol</t>
  </si>
  <si>
    <t>WHMMissionImpossibleathon4</t>
  </si>
  <si>
    <t>Episode 214 - Green Lantern (Live)</t>
  </si>
  <si>
    <t>Live - Lily Pad, Cambridge, MA - 2015-03-21 / Summer Blockbuster Extravaganza 2015</t>
  </si>
  <si>
    <t>Episode 215 - Mortal Kombat: Annihilation</t>
  </si>
  <si>
    <t>Season 6</t>
  </si>
  <si>
    <t>Listener Request Month 2015</t>
  </si>
  <si>
    <t>Animation Damnation 19 - Speed Racer: "The Car Hater"</t>
  </si>
  <si>
    <t>Episode 216 - Cyber Seduction: His Secret Life</t>
  </si>
  <si>
    <t>Episode 217 - The Dead Pool</t>
  </si>
  <si>
    <t>WHM Mailbag: Bad Jobs, Crying at Movies &amp; Our Favorite Simpsons Moments</t>
  </si>
  <si>
    <t>Episode 218 - The Devil's Advocate</t>
  </si>
  <si>
    <t>Animation Damnation 20 - G.I. Joe: "Cold Slither"</t>
  </si>
  <si>
    <t>Episode 219 - Brainscan</t>
  </si>
  <si>
    <t>Halloween Spooktacular 2015</t>
  </si>
  <si>
    <t>Episode 220 - Killer Workout</t>
  </si>
  <si>
    <t>Episode 221 - Freddy vs. Jason</t>
  </si>
  <si>
    <t>WHM Mailbag: Weird NYC Tales, Library Creeps &amp; Terrifying Advertising</t>
  </si>
  <si>
    <t>Episode 222 - Thinner</t>
  </si>
  <si>
    <t>Animation Damnation 21 - Beetlejuice: "Laugh of the Party"</t>
  </si>
  <si>
    <t>WHM On-Screen: The Friday the 13th Franchise</t>
  </si>
  <si>
    <t>Episode 223 - Never Say Never Again</t>
  </si>
  <si>
    <t>Episode 224 - Supergirl</t>
  </si>
  <si>
    <t>Animation Damnation 22 - James Bond Jr.: "Garden of Evil"</t>
  </si>
  <si>
    <t>Episode 225 - Weekend at Bernie's</t>
  </si>
  <si>
    <t>WHM On-Screen: Spectre</t>
  </si>
  <si>
    <t>WHM Mailbag: Puke, Podcast Bonding &amp; Porno Tape Mix-ups</t>
  </si>
  <si>
    <t>Episode 226 - Weekend at Bernie's II</t>
  </si>
  <si>
    <t>Episode 227 - Care Bears Movie II: A New Generation</t>
  </si>
  <si>
    <t>Episode 228 - Bill &amp;  Ted's Bogus Journey</t>
  </si>
  <si>
    <t>WHM Commentary 04: Revenge of the Sithmentary</t>
  </si>
  <si>
    <t>https://store.cdbaby.com/cd/wehatemovies5</t>
  </si>
  <si>
    <t>Star Wars Week 2015</t>
  </si>
  <si>
    <t>Episode 229 - Star Wars: Episode II - Attack of the Clones</t>
  </si>
  <si>
    <t>Episode 230 - Santa Claus: The Movie</t>
  </si>
  <si>
    <t>WHM On-Screen: Star Wars: Episode VII - The Force Awakens</t>
  </si>
  <si>
    <t>WHM Mailbag: Theater Tag Alongs, Embarrassing Movie Moments &amp; Crucified Muppets</t>
  </si>
  <si>
    <t>Animation Damnation 23 - Rudolph's Shiny New Year</t>
  </si>
  <si>
    <t>Episode 231 - Entourage</t>
  </si>
  <si>
    <t>Worst of 2015</t>
  </si>
  <si>
    <t>Episode 232 - Russell Madness</t>
  </si>
  <si>
    <t>Episode 233 - Pixels</t>
  </si>
  <si>
    <t>WHM Mailbag: Unruly Audiences, Projection Mishaps &amp; Straight Up Messing Yourself</t>
  </si>
  <si>
    <t>Episode 234 - The Last Witch Hunter</t>
  </si>
  <si>
    <t>Animation Damnation 24 - Be Cool, Scooby-Doo!: "Mystery 101"</t>
  </si>
  <si>
    <t>Episode 235 - American Shaolin</t>
  </si>
  <si>
    <t>Episode 236 - Daredevil</t>
  </si>
  <si>
    <t>Episode 237 - The Watcher</t>
  </si>
  <si>
    <t>WHM Mailbag: Sweet Valentine Tales, Larry the Cable Guy Fans &amp; Summer Camp Hook-ups</t>
  </si>
  <si>
    <t>Episode 238 - Olympus Has Fallen (Live in D.C.)</t>
  </si>
  <si>
    <t>Live - D.C. Improv, Washington, D.C. - 2015-12-12</t>
  </si>
  <si>
    <t>WHM On-Screen: Deadpool</t>
  </si>
  <si>
    <t>WHM On-Screen: The 88th Academy Awards</t>
  </si>
  <si>
    <t>Animation Damnation 25 - Road Rovers: "A Hair of the Dog That Bit You"</t>
  </si>
  <si>
    <t>Episode 239 - The Shadow</t>
  </si>
  <si>
    <t>Episode 240 - A Letter from Death Row</t>
  </si>
  <si>
    <t>Listener Request Month 2016</t>
  </si>
  <si>
    <t>Episode 241 - Nightmare Beach</t>
  </si>
  <si>
    <t>WHM Mailbag: Horrible Hook-up Movies, Bee Movie Podcasts &amp; How to Ruin The Godfather</t>
  </si>
  <si>
    <t>Episode 242 - Antitrust</t>
  </si>
  <si>
    <t>Episode 243 - Batman v Superman: Dawn of Justice</t>
  </si>
  <si>
    <t>Animation Damnation 26 - The Raccoons: "Surprise Attack!"</t>
  </si>
  <si>
    <t>Episode 244 - Dungeons &amp; Dragons</t>
  </si>
  <si>
    <t>Episode 245 - My Best Friend's Wedding</t>
  </si>
  <si>
    <t>Episode 246 - The Wizard</t>
  </si>
  <si>
    <t>Animation Damnation 27 - Centurions: "Day of the Animals"</t>
  </si>
  <si>
    <t>Episode 247 - Larry the Cable Guy: Health Inspector</t>
  </si>
  <si>
    <t>WHM Mailbag: Peein' at the Arcade, Dirty Diapers in the Theater &amp; One Ticked Off BvS Superfan</t>
  </si>
  <si>
    <t>Episode 248 - Waterworld (Live!)</t>
  </si>
  <si>
    <t>Episode 249 - American Dreamz</t>
  </si>
  <si>
    <t>Episode 250 - Highlander II: The Quickening</t>
  </si>
  <si>
    <t>WHM On-Screen: Captain America: Civil War</t>
  </si>
  <si>
    <t>Episode 251 - Kindergarten Cop 2</t>
  </si>
  <si>
    <t>WHM Mailbag: DJ DEA Agents, Listening to WHM in Class, and Things Not to Do with Italian Dressing</t>
  </si>
  <si>
    <t>Episode 252 - X-Men: The Last Stand</t>
  </si>
  <si>
    <t>Summer Blockbuster Extravaganza 2016</t>
  </si>
  <si>
    <t>Animation Damnation 28 - X-Men: "Jubilee's Fairy Tale Theater"</t>
  </si>
  <si>
    <t>WHM On-Screen: X-Men: Apocalypse</t>
  </si>
  <si>
    <t>Episode 253 - Speed 2: Cruise Control</t>
  </si>
  <si>
    <t>WHM On-Screen: TMNT 2: Out of the Shadows</t>
  </si>
  <si>
    <t>Episode 254 - Don't Tell Mom the Babysitter's Dead</t>
  </si>
  <si>
    <t>Episode 255 - Street Fighter</t>
  </si>
  <si>
    <t>Animation Damnation 29 - Street Fighter: "Getting to Guile"</t>
  </si>
  <si>
    <t>Episode 256 - Another 48 Hrs.</t>
  </si>
  <si>
    <t>WHM On-Screen: Game of Thrones Season 6</t>
  </si>
  <si>
    <t>WHM Mailbag: Bad Movie Taste, Elderly Theater Patrons, and too Much Long John Silver's</t>
  </si>
  <si>
    <t>Episode 257 - Wild Wild West</t>
  </si>
  <si>
    <t>Episode 258 - Lady in the Water</t>
  </si>
  <si>
    <t>Episode 259 - Star Trek V: The Final Frontier</t>
  </si>
  <si>
    <t>Animation Damnation 30 - The Real Ghostbusters: "They Call me MISTER Slimer"</t>
  </si>
  <si>
    <t>Episode 260 - Con Air</t>
  </si>
  <si>
    <t>WHM Mailbag: Kids' Birthdays, R-rated Movie Sneaks, and Late-in-Life Masturbation Discoveries</t>
  </si>
  <si>
    <t>Episode 261 - Predator 2 (Live)</t>
  </si>
  <si>
    <t>Live - Stage 773, Chicago, IL - 2016-04-16 / Summer Vacation Live 2016</t>
  </si>
  <si>
    <t>Episode 262 - Jupiter Ascending (Live)</t>
  </si>
  <si>
    <t>Live - Union Hall, Brooklyn, NY - 2016-06-11 / Summer Vacation Live 2016</t>
  </si>
  <si>
    <t>WHM Commentary 05: TMNTmentary</t>
  </si>
  <si>
    <t>Patreon</t>
  </si>
  <si>
    <t>The Nexus 001 - "The Cage" / "Encounter at Farpoint"</t>
  </si>
  <si>
    <t>NX</t>
  </si>
  <si>
    <t>Episode 263 - Teenage Mutant Ninja Turtles III (Live)</t>
  </si>
  <si>
    <t>Live - Little Theatre, Rochester, NY - 2016-07-16 / Summer Vacation Live 2016</t>
  </si>
  <si>
    <t>Animation Damnation 31 - Super Mario Bros. Super Show: "Flatbush Koopa"</t>
  </si>
  <si>
    <t>Season 7</t>
  </si>
  <si>
    <t>Episode 264 - The Amazing Spider-Man 2</t>
  </si>
  <si>
    <t>Episode 265 - The Substitute 2: School's Out</t>
  </si>
  <si>
    <t>Episode 266 - Anaconda</t>
  </si>
  <si>
    <t>Side Order of Sleaze 08 - Isla: She Wolf of the SS</t>
  </si>
  <si>
    <t>Episode 267 - Hollow Man</t>
  </si>
  <si>
    <t>WHM Mailbag: Theater Walk-Outs, Haneke High School, and Movie Theater Parking Lot Sex</t>
  </si>
  <si>
    <t>Episode 268 - Pet Sematary II</t>
  </si>
  <si>
    <t>Halloween Spooktacular 2016</t>
  </si>
  <si>
    <t>Episode 269 - Halloween: The Curse of Michael Myers</t>
  </si>
  <si>
    <t>The Nexus 002 - "The Man Trap" / "The Naked Now"</t>
  </si>
  <si>
    <t>Episode 270 - Ernest Scared Stupid</t>
  </si>
  <si>
    <t>Animation Damnation 32 - Davey and Goliath: "Halloween Who-Dun-It"</t>
  </si>
  <si>
    <t>Episode 271 - Texas Chainsaw Massacre: The Next Generation</t>
  </si>
  <si>
    <t>WHM Mailbag: WHM Origins, Break-up Recovery Films, and Ruining Blade II</t>
  </si>
  <si>
    <t>WHM On-Screen: The Halloween Franchise</t>
  </si>
  <si>
    <t>Episode 272 - Ghosts Can't Do It</t>
  </si>
  <si>
    <t>Animation Damnation 33 - Robocop: The Animated Series: "The Brotherhood"</t>
  </si>
  <si>
    <t>Episode 273 - Don't Tell Her It's Me</t>
  </si>
  <si>
    <t>WHM On-Screen: Doctor Strange</t>
  </si>
  <si>
    <t>Episode 274 - Fantastic Four (2005)</t>
  </si>
  <si>
    <t>The Nexus 003 - "Charlie X" / "Code of Honor"</t>
  </si>
  <si>
    <t>Episode 275 - The Happening</t>
  </si>
  <si>
    <t>Episode 276 - Suburban Commando (Live)</t>
  </si>
  <si>
    <t>Live - Hollywood Improv, Hollywood, CA (LA Podfest) - 2016-09-22</t>
  </si>
  <si>
    <t>WHM Mailbag: Hurricane Late Fees, Parking Lot Hitchhikers, and Movie Theater Perverts</t>
  </si>
  <si>
    <t>Episode 277 - Surviving the Game</t>
  </si>
  <si>
    <t>Episode 278 - End of Days</t>
  </si>
  <si>
    <t>Animation Damnation 35 - Christmas Comes to Pac-Land</t>
  </si>
  <si>
    <t>Episode 279 - Demolition Man</t>
  </si>
  <si>
    <t>Episode 280 - The Santa Clause 3: The Escape Clause</t>
  </si>
  <si>
    <t>The Nexus 004 - "Where No Man Has Gone Before" / "The Last Outpost"</t>
  </si>
  <si>
    <t>WHM On-Screen: Star Wars: Rogue One</t>
  </si>
  <si>
    <t>Episode 281 - Batman &amp; Robin (Live)</t>
  </si>
  <si>
    <t>WHM Mailbag: Screaming Substitute Teachers, Dying at the Movies, "Pump Up The Volume"</t>
  </si>
  <si>
    <t>Episode 282 - Collateral Beauty</t>
  </si>
  <si>
    <t>Worst of 2016</t>
  </si>
  <si>
    <t>Episode 283 - Dirty Grandpa</t>
  </si>
  <si>
    <t>The Nexus 005 - "The Naked Time" / "Where No One Has Gone Before"</t>
  </si>
  <si>
    <t>Episode 284 - Suicide Squad</t>
  </si>
  <si>
    <t>Episode 285 - Gods of Egypt</t>
  </si>
  <si>
    <t>Animation Damnation 35 - Dragon Ball Z: "Goku's Ordeal"</t>
  </si>
  <si>
    <t>Episode 286 - Independence Day: Resurgence</t>
  </si>
  <si>
    <t>WHM Mailbag: Potentially Lethal Duck Movies, Cinematic Conspiracy Theories, Amy Adams is Nice</t>
  </si>
  <si>
    <t>Episode 287 - Bee Movie</t>
  </si>
  <si>
    <t>WHM Commentary 06: Taken 2-mentary</t>
  </si>
  <si>
    <t>Episode 288 - My Father the Hero</t>
  </si>
  <si>
    <t>Animation Damnation 36 - David the Gnome: "The Wedding That Almost Wasn't"</t>
  </si>
  <si>
    <t>Episode 289 - Retroactive</t>
  </si>
  <si>
    <t>The Nexus 006 - "The Enemy Within" / "Lonely Among Us"</t>
  </si>
  <si>
    <t>WHM On-Screen: The 89th Academy Awards</t>
  </si>
  <si>
    <t>Episode 290 - Tango &amp; Cash</t>
  </si>
  <si>
    <t>Episode 291 - The Last Airbender</t>
  </si>
  <si>
    <t>Listener Request Month 2017</t>
  </si>
  <si>
    <t>WHM Mailbag: Families with Bad Taste, Irrational Fears of Yoda, Dudes Love "Grown Ups 2"</t>
  </si>
  <si>
    <t>Episode 292 - Highlander III: The Final Dimension</t>
  </si>
  <si>
    <t>The Nexus 007 - "Civil Defense" / "Threshold" (DS9/VGR)</t>
  </si>
  <si>
    <t>Animation Damnation 37 - Pokemon: "Beauty and the Beach"</t>
  </si>
  <si>
    <t>Episode 293 - Ultraviolet</t>
  </si>
  <si>
    <t>Episode 294 - Power Rangers (2017)</t>
  </si>
  <si>
    <t>Episode 295 - Overboard</t>
  </si>
  <si>
    <t>The Nexus 008 - "Mudd's Women" / "Justice"</t>
  </si>
  <si>
    <t>Episode 296 - Sidekicks</t>
  </si>
  <si>
    <t>Episode 297 - Howard The Duck (Live)</t>
  </si>
  <si>
    <t>Live - The Bell House, Brooklyn, NY - 2017-03-04</t>
  </si>
  <si>
    <t>Animation Damnation 38 - Mortal Kombat: Defenders of the Realm: "Kombat Begins Again"</t>
  </si>
  <si>
    <t>Episode 298 - Hot to Trot</t>
  </si>
  <si>
    <t>WHM Mailbag: Steven from Charlotte, Passing Up Sex for Movies, Agitated Fathers, Greening Out</t>
  </si>
  <si>
    <t>Episode 299 - Death Wish 3</t>
  </si>
  <si>
    <t>Episode 300 - 300</t>
  </si>
  <si>
    <t>Episode 301 - AVP: Alien vs Predator</t>
  </si>
  <si>
    <t>The Nexus 009 - "What Are Little Girls Made Of?" / "The Battle"</t>
  </si>
  <si>
    <t>Animation Damnation 39 - Highlander: The Animated Series: "The Cursed"</t>
  </si>
  <si>
    <t>Episode 302 - Ninja III: The Domination</t>
  </si>
  <si>
    <t>Episode 303 - Disclosure</t>
  </si>
  <si>
    <t>WHM Mailbag: Dying at the Movies, Public Freakouts, Cheeseburgers Down Your Pants, and Crotchety Dads</t>
  </si>
  <si>
    <t>Episode 304 - Transformers (2007)</t>
  </si>
  <si>
    <t>Summer Blockbuster Extravaganza 2017</t>
  </si>
  <si>
    <t>WHM On-Screen: Wonder Woman</t>
  </si>
  <si>
    <t>WHM Commentary 07: Twilightmentary</t>
  </si>
  <si>
    <t>Episode 305 - Transformers: Revenge of the Fallen</t>
  </si>
  <si>
    <t>Animation Damnation 40 - Transformers: "The Girl Who Loved Powerglide"</t>
  </si>
  <si>
    <t>The Nexus 010 - "Miri" / "Hide and Q"</t>
  </si>
  <si>
    <t>Episode 306 - Transformers: Dark of the Moon</t>
  </si>
  <si>
    <t>Episode 307 - Friday the 13th: Part 7 - The New Blood (Live)</t>
  </si>
  <si>
    <t>Live - The Punchline, Atlanta, GA - 2017-04-13</t>
  </si>
  <si>
    <t>Episode 308 - Transformers: Age of Extinction</t>
  </si>
  <si>
    <t>The Nexus 011 - "Dagger of the Mind" / "Haven"</t>
  </si>
  <si>
    <t>WHM Mailbag: Broken Remotes, Soviet Cinema(s), Gross Rags, and Creepy Dude Teachers</t>
  </si>
  <si>
    <t>Episode 309 - Encino Man</t>
  </si>
  <si>
    <t>Episode 310 - Transformers: The Last Knight</t>
  </si>
  <si>
    <t>Animation Damnation 41 - Spider-Man: "Neogenic Nightmare Chapter 7: Enter The Punisher"</t>
  </si>
  <si>
    <t>Episode 311 - Air Force One</t>
  </si>
  <si>
    <t>WHM Mailbag: Dating Transformers Fanatics, Bad Hangover Films, and Ruining Your Parents' Social Status by Listening to WHM</t>
  </si>
  <si>
    <t>Episode 312 - Spider-Man 3</t>
  </si>
  <si>
    <t>WHM On-Screen: Spider-Man: Homecoming</t>
  </si>
  <si>
    <t>The Nexus 012 - "The Corbomite Maneuver" / "The Big Goodbye"</t>
  </si>
  <si>
    <t>Episode 313 - Fantastic Four: Rise of the Silver Surfer (Live)</t>
  </si>
  <si>
    <t>Live - Mississippi Studios, Portland, OR - 2017-06-24 / Summer Vacation Live 2017</t>
  </si>
  <si>
    <t>Episode 314 - Over the Top (Live)</t>
  </si>
  <si>
    <t>Animation Damnation 42 - Street Sharks: "Shark Bait"</t>
  </si>
  <si>
    <t>WHM On-Screen: Game of Thrones Season 7</t>
  </si>
  <si>
    <t>Episode 315 - Mac &amp; Me (Live)</t>
  </si>
  <si>
    <t>Live - The Bell House, Brooklyn, NY - 2017-08-05 / Summer Vacation Live 2017</t>
  </si>
  <si>
    <t>Episode 316 - IT (1990)</t>
  </si>
  <si>
    <t>Season 8</t>
  </si>
  <si>
    <t>WHM Mailbag: Alt-Right Blind Dates, Grade School Toy Theft, and Puking at the Movie</t>
  </si>
  <si>
    <t>Episode 317 - If Looks Could Kill</t>
  </si>
  <si>
    <t>Animation Damnation 43 - DuckTales: "Dr. Jekyll &amp; Mr. McDuck"</t>
  </si>
  <si>
    <t>Episode 318 - Samurai Cop</t>
  </si>
  <si>
    <t>WHM Commentary 08: Twilight: New Moonmentary</t>
  </si>
  <si>
    <t>The Nexus 013 - "The Menagerie" / "Datalore"</t>
  </si>
  <si>
    <t>Episode 319 - Freddy's Dead: The Final Nightmare</t>
  </si>
  <si>
    <t>Halloween Spooktacular 2017</t>
  </si>
  <si>
    <t>Episode 320 - Dr. Giggles</t>
  </si>
  <si>
    <t>Episode 321 - Scream 2</t>
  </si>
  <si>
    <t>Animation Damnation 44 - Count Duckula: "One Stormy Night"</t>
  </si>
  <si>
    <t>Episode 322 - Saw</t>
  </si>
  <si>
    <t>The Nexus 014 - "The Conscience of the King" / "Angel One"</t>
  </si>
  <si>
    <t>WHM On-Screen: The Nightmare on Elm Street Franchise</t>
  </si>
  <si>
    <t>Episode 323 - Trick or Treat</t>
  </si>
  <si>
    <t>WHM Mailbag: L.A. Letter Readin' (w/ Amir Blumenfeld!)</t>
  </si>
  <si>
    <t>Episode 324 - Rising Sun</t>
  </si>
  <si>
    <t>Snipesgiving 2017</t>
  </si>
  <si>
    <t>Animation Damnation 45 - Bruno The Kid: "The Adventure Begins"</t>
  </si>
  <si>
    <t>Episode 325 - The Fan</t>
  </si>
  <si>
    <t>Episode 326 - Murder at 1600</t>
  </si>
  <si>
    <t>The Nexus 015 - "Balance of Terror" / "11001001"</t>
  </si>
  <si>
    <t>Episode 327 - Drop Zone</t>
  </si>
  <si>
    <t>WHM On-Screen: 2017 Superhero Round-Up: Thor Ragnarok &amp; Justice League</t>
  </si>
  <si>
    <t>WHM Mailbag: Taking Mom to the Movies, Lying About Hating "Collateral Beauty," and Falling Asleep on Toilets</t>
  </si>
  <si>
    <t>Episode 328 - The Punisher (2004)</t>
  </si>
  <si>
    <t>Animation Damnation 46 - Archie's Weird Mysteries: "The Christmas Phantom"</t>
  </si>
  <si>
    <t>Episode 329 - Hard to Kill</t>
  </si>
  <si>
    <t>WHM Commentary 09: Rambomentary</t>
  </si>
  <si>
    <t>Episode 330 - Pottersville</t>
  </si>
  <si>
    <t>WHM On-Screen: Star Wars: Episode VIII - The Last Jedi</t>
  </si>
  <si>
    <t>WHM Mailbag: Watching "8MM" in School, Almost Giving Birth While Listening to WHM, and "Christmas Film or Action Film?"</t>
  </si>
  <si>
    <t>Episode 331 - Constantine (Live)</t>
  </si>
  <si>
    <t>Live - Biltmore Bowl, Los Angeles, CA (LA Podfest) - 2017-10-07</t>
  </si>
  <si>
    <t>The Nexus 016 - "Shore Leave" / "Too Short A Season"</t>
  </si>
  <si>
    <t>Episode 332 - The Boss Baby</t>
  </si>
  <si>
    <t>Worst of 2017</t>
  </si>
  <si>
    <t>Episode 333 - Bright</t>
  </si>
  <si>
    <t>Episode 334 - The Fate of the Furious</t>
  </si>
  <si>
    <t>Animation Damnation 47 - Bobby's World: "Weekend at Teddie's"</t>
  </si>
  <si>
    <t>Episode 335 - The Bye Bye Man</t>
  </si>
  <si>
    <t>Episode 336 - Geostorm</t>
  </si>
  <si>
    <t>The Nexus 017 - "The Galileo Seven" / "When the Bough Breaks"</t>
  </si>
  <si>
    <t>Episode 337 - Going In Style</t>
  </si>
  <si>
    <t>WHM Mail Bag: Film Critic Run-Ins, Sleepover Film Selections, and Disastrous Midnight Movie Experiences</t>
  </si>
  <si>
    <t>Episode 338 - Blade: Trinity (Live)</t>
  </si>
  <si>
    <t>Live - The Bell House, Brooklyn, NY (Brooklyn Podfest) - 2017-11-18 / Snipesgiving 2017</t>
  </si>
  <si>
    <t>Animation Damnation 48 - Challenge of the Superfriends: "The Rise and Fall of the Superfriends"</t>
  </si>
  <si>
    <t>Episode 339 - Man Of Steel</t>
  </si>
  <si>
    <t>Episode 340 - You've Got Mail</t>
  </si>
  <si>
    <t>Episode 341 - Traces of Red</t>
  </si>
  <si>
    <t>WHM On-Screen: Black Panther</t>
  </si>
  <si>
    <t>The Nexus 018 - "The Squire of Gothos" / "Home Soil"</t>
  </si>
  <si>
    <t>Episode 342 - Death Wish V: The Face of Death</t>
  </si>
  <si>
    <t>WHM Mail Bag: Movie Theater Bathroom Breaks, After Prom at the Movies, and Dads Ruining Movie Dates</t>
  </si>
  <si>
    <t>WHM On-Screen: The 2018 Academy Awards</t>
  </si>
  <si>
    <t>Episode 343 - The Jerky Boys</t>
  </si>
  <si>
    <t>Listener Request Month 2018</t>
  </si>
  <si>
    <t>Episode 344 - Ghost Rider: Spirit of Vengeance</t>
  </si>
  <si>
    <t>Episode 345 - Maximum Overdrive (Live)</t>
  </si>
  <si>
    <t>Live - The North Door, Austin, TX - 2018-03-10</t>
  </si>
  <si>
    <t>Episode 346 - I'll Always Know What You Did Last Summer</t>
  </si>
  <si>
    <t>Animation Damnation 49 - Mortal Kombat: The Journey Begins</t>
  </si>
  <si>
    <t>Episode 347 - Tarzan the Ape Man</t>
  </si>
  <si>
    <t>The Nexus 019 - "First Contact" / "Let He Who is Without Sin..." (TNG/DS9)</t>
  </si>
  <si>
    <t>Episode 348 - I Know Who Killed Me</t>
  </si>
  <si>
    <t>WHM Mail Bag: Backfiring Prank Calls, Watching "The Jerky Boys" On 9/11, and After-Hours Movie Theater Sexcapades</t>
  </si>
  <si>
    <t>WHM Commentary 10: The Cloverfield Paradoxmentary</t>
  </si>
  <si>
    <t>Episode 349 - Shrek</t>
  </si>
  <si>
    <t>Animation Damnation 50 - Iron Man: "Iron Man, On The Inside"</t>
  </si>
  <si>
    <t>Episode 350 - Wild Hogs</t>
  </si>
  <si>
    <t>Episode 351 - Jungle 2 Jungle</t>
  </si>
  <si>
    <t>Episode 352 - Lost in Space</t>
  </si>
  <si>
    <t>Episode 353 - Airborne</t>
  </si>
  <si>
    <t>The Nexus 020 - "Arena" / "Coming of Age"</t>
  </si>
  <si>
    <t>Episode 354 - The Bucket List</t>
  </si>
  <si>
    <t>WHM On-Screen: Avengers: Infinity War</t>
  </si>
  <si>
    <t>Episode 355 - Dollman</t>
  </si>
  <si>
    <t>Episode 356 - Transcendence</t>
  </si>
  <si>
    <t>Episode 357 - The X-Files: I Want To Believe</t>
  </si>
  <si>
    <t>WHM Mail Bag: Crying at LOTR, Getting Arrested on Easter, and Several Scary Bathroom Tales</t>
  </si>
  <si>
    <t>Animation Damnation 51 - The Boss Baby: Back in Business: "The Constipation Situation"</t>
  </si>
  <si>
    <t>Episode 358 - Witless Protection</t>
  </si>
  <si>
    <t>The Nexus 021 - "Tomorrow is Yesterday" / "Heart of Glory"</t>
  </si>
  <si>
    <t>Episode 359 - X-Men Origins: Wolverine</t>
  </si>
  <si>
    <t>Summer Blockbuster Extravaganza 2018</t>
  </si>
  <si>
    <t>WHM On-Screen: Solo: A Star Wars Story</t>
  </si>
  <si>
    <t>Episode 360 - Ocean's Twelve</t>
  </si>
  <si>
    <t>Animation Damnation 52 - Thundercats: "The Garden of Delights"</t>
  </si>
  <si>
    <t>Episode 361 - xXx</t>
  </si>
  <si>
    <t>Episode 362 - Jurassic World</t>
  </si>
  <si>
    <t>WHM On-Screen: Ocean's 8</t>
  </si>
  <si>
    <t>Episode 363 - Jurassic Park III</t>
  </si>
  <si>
    <t xml:space="preserve">The Nexus 022 - â€œCourt Martialâ€ / â€œArsenal of Freedomâ€ </t>
  </si>
  <si>
    <t>Episode 364 - Lethal Weapon 4</t>
  </si>
  <si>
    <t>WHM Mail Bag: Horrendous Movie Theater Cleaning Gigs, Using the Toliet at Rock Concerts, and Deadly (Possibly Illegal) Amusement Parks</t>
  </si>
  <si>
    <t>Episode 365 - Rambo III</t>
  </si>
  <si>
    <t>Animation Damnation 53 - Avengers: United They Stand: "Egg-Streme Vengeance"</t>
  </si>
  <si>
    <t>Episode 366 - Runaway Bride</t>
  </si>
  <si>
    <t>Episode 367 - Americaâ€™s Sweethearts</t>
  </si>
  <si>
    <t>Episode 368 - Eraser</t>
  </si>
  <si>
    <t>Episode 53</t>
  </si>
  <si>
    <t xml:space="preserve">The Nexus 023 - â€œReturn of the Archons" / â€œSymbiosisâ€ </t>
  </si>
  <si>
    <t>Episode 369 - Rookie of the Year</t>
  </si>
  <si>
    <t>Episode 54</t>
  </si>
  <si>
    <t>WHM Mail Bag: Bad Behavior on Date Night, Disgusting Water Parks, Laughing at Herzog Films, and Movie Theater Human Rights Violations</t>
  </si>
  <si>
    <t>Episode 370 - Armageddon</t>
  </si>
  <si>
    <t>Episode 55</t>
  </si>
  <si>
    <t>WHM Commentary 11: Twilight: Eclipsementary</t>
  </si>
  <si>
    <t>Animation Damnation 54 - Rambo: "Battlefield Bronx"</t>
  </si>
  <si>
    <t>Episode 371 - The Emoji Movie (Live)</t>
  </si>
  <si>
    <t>Episode 56</t>
  </si>
  <si>
    <t>Live - Abrons Art Center, NYC (NYC Podfest) - 2018-04-08 / Summer Vacation Live 2018</t>
  </si>
  <si>
    <t>Episode 372 - Jason X (Live)</t>
  </si>
  <si>
    <t>Episode 57</t>
  </si>
  <si>
    <t>Live - City Winery, Chicago, IL - 2018-07-13 / Summer Vacation Live 2018</t>
  </si>
  <si>
    <t>Episode 373 - Friday the 13th Part VIII: Jason Takes Manhattan</t>
  </si>
  <si>
    <t>Episode 58</t>
  </si>
  <si>
    <t>Episode 374 - Tank Girl (Live)</t>
  </si>
  <si>
    <t>Episode 59</t>
  </si>
  <si>
    <t>Live - The Back Room @ Colectivo, Milwaukee, WI - 2018-07-14 / Summer Vacation Live 2018</t>
  </si>
  <si>
    <t>The Nexus 024 - â€œSpace Seed" / â€œSkin of Evilâ€</t>
  </si>
  <si>
    <t>Episode 375 - Cobra (Live)</t>
  </si>
  <si>
    <t>Episode 60</t>
  </si>
  <si>
    <t>Live - The Creative Alliance, Baltimore, MD - 2018-08-18 / Summer Vacation Live 2018</t>
  </si>
  <si>
    <t>Episode 376 - The Flintstones</t>
  </si>
  <si>
    <t>Season 9</t>
  </si>
  <si>
    <t>Episode 377 - Ready Player One</t>
  </si>
  <si>
    <t>Episode 378 - Masterminds</t>
  </si>
  <si>
    <t>Animation Damnation 55 - Star Wars: Droids: "A Race To The Finish"</t>
  </si>
  <si>
    <t>Episode 379 - Aliens vs. Predator: Requiem</t>
  </si>
  <si>
    <t>The Nexus 025 - â€œA Taste of Armageddon" / â€œWe'll Always Have Parisâ€</t>
  </si>
  <si>
    <t>Episode 380 - The Stepford Wives (2004)</t>
  </si>
  <si>
    <t>WHM Mail Bag: Dads Renting Porn, Fleeing the Movies in Fear, and Bothering Celebrities at Thanksgiving</t>
  </si>
  <si>
    <t>Episode 381 - Hellraiser III: Hell on Earth</t>
  </si>
  <si>
    <t>Halloween Spooktacular 2018</t>
  </si>
  <si>
    <t>Episode 382 - Man's Best Friend</t>
  </si>
  <si>
    <t>Animation Damnation 56 - The Smurfs: "All Hallows' Eve"</t>
  </si>
  <si>
    <t>The WHM 2018 Fall/Winter Preview</t>
  </si>
  <si>
    <t>Fall/Winter Preview 2018</t>
  </si>
  <si>
    <t>Episode 383 - Halloween: Resurrection</t>
  </si>
  <si>
    <t>Episode 384 - Van Helsing</t>
  </si>
  <si>
    <t>Episode 385 - Urban Legend</t>
  </si>
  <si>
    <t>The Nexus 026 - â€œThis Side of Paradise" / â€œConspiracyâ€</t>
  </si>
  <si>
    <t>WHM Mail Bag: Obnoxious Children at the Movies, Spooktacular Exes, Eerie Event Cinema, and Waiting to Meet Doug "Pinhead" Bradley</t>
  </si>
  <si>
    <t>Episode 386 - Wishmaster</t>
  </si>
  <si>
    <t>WHM Commentary 12: A Nightmare On Elm Street Remakementary</t>
  </si>
  <si>
    <t>Episode 387 - The Cat in the Hat</t>
  </si>
  <si>
    <t>Episode 388 - How the Grinch Stole Christmas</t>
  </si>
  <si>
    <t>Episode 389 - The One</t>
  </si>
  <si>
    <t>Animation Damnation 57 - A Charlie Brown Thanksgiving</t>
  </si>
  <si>
    <t>The Nexus 027 - â€œThe Devil in the Dark" / â€œNeutral Zoneâ€</t>
  </si>
  <si>
    <t>Episode 390 - Robin Hood: Prince of Thieves</t>
  </si>
  <si>
    <t>Episode 391 - RiÂ¢hie RiÂ¢h</t>
  </si>
  <si>
    <t>WHM Mail Bag: Cat In The Hat Stand-Ins, Messing with Michael Myers, and Blowing Up Your College Bathroom</t>
  </si>
  <si>
    <t>Episode 392 - Terminator 2: Judgment Day</t>
  </si>
  <si>
    <t>We Love Movies</t>
  </si>
  <si>
    <t>Episode 393 - Star Wars</t>
  </si>
  <si>
    <t>Episode 394 - Back To The Future</t>
  </si>
  <si>
    <t>Animation Damnation 58 - Batman: The Animated Series: "Almost Got â€™im"</t>
  </si>
  <si>
    <t>Episode 395 - It's A Wonderful Life</t>
  </si>
  <si>
    <t>The Nexus 028 - Star Trek II: The Wrath of Khan</t>
  </si>
  <si>
    <t>The Pilot / Wired</t>
  </si>
  <si>
    <t>Number One with a Bullet</t>
  </si>
  <si>
    <t>The Pack</t>
  </si>
  <si>
    <t>Congo</t>
  </si>
  <si>
    <t>Psychomania</t>
  </si>
  <si>
    <t>The Hand</t>
  </si>
  <si>
    <t>K-9</t>
  </si>
  <si>
    <t>The Wrong Guys</t>
  </si>
  <si>
    <t>Dead Heat</t>
  </si>
  <si>
    <t>Evilspeak</t>
  </si>
  <si>
    <t>Gone Fishin'</t>
  </si>
  <si>
    <t>The Net</t>
  </si>
  <si>
    <t>Superman III &amp; IV Part One</t>
  </si>
  <si>
    <t>Superman III &amp; IV Part Two</t>
  </si>
  <si>
    <t>Boys and Girls</t>
  </si>
  <si>
    <t>Fuzz</t>
  </si>
  <si>
    <t>Deep Impact</t>
  </si>
  <si>
    <t>Captain America (1990)</t>
  </si>
  <si>
    <t>The Best of the Worst of Summer 2011</t>
  </si>
  <si>
    <t>Deadlock</t>
  </si>
  <si>
    <t>The Principal</t>
  </si>
  <si>
    <t>18 Again!</t>
  </si>
  <si>
    <t>A Shock to the System</t>
  </si>
  <si>
    <t>The Ewok Adventure</t>
  </si>
  <si>
    <t>I Come in Peace</t>
  </si>
  <si>
    <t>Visiting Hours</t>
  </si>
  <si>
    <t>Wolf</t>
  </si>
  <si>
    <t>976-EVIL</t>
  </si>
  <si>
    <t>The Haunting</t>
  </si>
  <si>
    <t>Babycakes</t>
  </si>
  <si>
    <t>Judge Dredd</t>
  </si>
  <si>
    <t>No Retreat, No Surrender</t>
  </si>
  <si>
    <t>Ewoks: The Battle for Endor</t>
  </si>
  <si>
    <t>Poison Ivy</t>
  </si>
  <si>
    <t>Wired: The Return</t>
  </si>
  <si>
    <t>The Conqueror</t>
  </si>
  <si>
    <t>Jack Frost (1998)</t>
  </si>
  <si>
    <t>Money Train</t>
  </si>
  <si>
    <t>The Adventures of Ford Fairlane</t>
  </si>
  <si>
    <t>Hider in the House</t>
  </si>
  <si>
    <t>Halloween III: Season of the Witch</t>
  </si>
  <si>
    <t>Zandalee</t>
  </si>
  <si>
    <t>Vampire in Brooklyn</t>
  </si>
  <si>
    <t>Star Wars Episode 1: The Phantom Menace</t>
  </si>
  <si>
    <t>Deadly Friend</t>
  </si>
  <si>
    <t>Nukie</t>
  </si>
  <si>
    <t>Cop and a Half</t>
  </si>
  <si>
    <t>Off Beat</t>
  </si>
  <si>
    <t>Hackers</t>
  </si>
  <si>
    <t>No Holds Barred</t>
  </si>
  <si>
    <t>Senseless</t>
  </si>
  <si>
    <t>Mr. Destiny</t>
  </si>
  <si>
    <t>Free Enterprise</t>
  </si>
  <si>
    <t>Gymkata</t>
  </si>
  <si>
    <t>Rocky IV</t>
  </si>
  <si>
    <t>The Philadelphia Experiment II</t>
  </si>
  <si>
    <t>The Glass House</t>
  </si>
  <si>
    <t>Undercover Blues</t>
  </si>
  <si>
    <t>The New Adventures of Pippi Longstocking</t>
  </si>
  <si>
    <t>The Skulls</t>
  </si>
  <si>
    <t>Men in Black II</t>
  </si>
  <si>
    <t>Cocoon</t>
  </si>
  <si>
    <t>Jaws: The Revenge</t>
  </si>
  <si>
    <t>The Next Karate Kid</t>
  </si>
  <si>
    <t>Nine Months</t>
  </si>
  <si>
    <t>Inspector Gadget</t>
  </si>
  <si>
    <t>Spawn</t>
  </si>
  <si>
    <t>Reign of Fire</t>
  </si>
  <si>
    <t>Twister</t>
  </si>
  <si>
    <t>Kill Crazy</t>
  </si>
  <si>
    <t>Mo' Money</t>
  </si>
  <si>
    <t>Dracula 2000</t>
  </si>
  <si>
    <t>Rock 'n' Roll High School Forever</t>
  </si>
  <si>
    <t>Invisible Child</t>
  </si>
  <si>
    <t>Perfect Stranger</t>
  </si>
  <si>
    <t>Never Too Young to Die</t>
  </si>
  <si>
    <t>Heart Condition</t>
  </si>
  <si>
    <t>Silver Bullet</t>
  </si>
  <si>
    <t>Ghost in the Machine</t>
  </si>
  <si>
    <t>Friday the 13th - Part V: A New Beginning</t>
  </si>
  <si>
    <t>Bordello of Blood</t>
  </si>
  <si>
    <t>Bless the Child</t>
  </si>
  <si>
    <t>K-911</t>
  </si>
  <si>
    <t>Die Another Day</t>
  </si>
  <si>
    <t>Madhouse</t>
  </si>
  <si>
    <t>Star Trek: Insurrection</t>
  </si>
  <si>
    <t>Indiana Jones and the Kingdom of the Crystal Skull</t>
  </si>
  <si>
    <t>Eight Crazy Nights</t>
  </si>
  <si>
    <t>The Rapture</t>
  </si>
  <si>
    <t>One Magic Christmas</t>
  </si>
  <si>
    <t>Step Up Revolution</t>
  </si>
  <si>
    <t>The Raven</t>
  </si>
  <si>
    <t>Alex Cross</t>
  </si>
  <si>
    <t>Tooth Fairy 2</t>
  </si>
  <si>
    <t>This Means War</t>
  </si>
  <si>
    <t>On Deadly Ground (Live)</t>
  </si>
  <si>
    <t>Tuff Turf</t>
  </si>
  <si>
    <t>Aspen Extreme</t>
  </si>
  <si>
    <t>Freejack</t>
  </si>
  <si>
    <t>Taking Care of Business</t>
  </si>
  <si>
    <t>The Pallbearer</t>
  </si>
  <si>
    <t>Batman Forever</t>
  </si>
  <si>
    <t>Best of the Best 2</t>
  </si>
  <si>
    <t>Cat People (1982)</t>
  </si>
  <si>
    <t>Addicted to Love</t>
  </si>
  <si>
    <t>Virtuosity</t>
  </si>
  <si>
    <t>Walking Tall (1973)</t>
  </si>
  <si>
    <t>The Mating Habits of the Earthbound Human</t>
  </si>
  <si>
    <t>The Boondock Saints II: All Saints Day</t>
  </si>
  <si>
    <t>Foodfight!</t>
  </si>
  <si>
    <t>Houseguest</t>
  </si>
  <si>
    <t>Maniac Cop 3: Badge of Silence</t>
  </si>
  <si>
    <t>Godzilla</t>
  </si>
  <si>
    <t>Steel</t>
  </si>
  <si>
    <t>Bad Boys II</t>
  </si>
  <si>
    <t>Jaws 3D</t>
  </si>
  <si>
    <t>S.W.A.T.</t>
  </si>
  <si>
    <t>The Running Man</t>
  </si>
  <si>
    <t>Volcano</t>
  </si>
  <si>
    <t>She's All That</t>
  </si>
  <si>
    <t>Grown Ups 2</t>
  </si>
  <si>
    <t>Only the Strong</t>
  </si>
  <si>
    <t>Cliffhanger (Live)</t>
  </si>
  <si>
    <t>New Nightmare</t>
  </si>
  <si>
    <t>Body Parts</t>
  </si>
  <si>
    <t>Cat's Eye</t>
  </si>
  <si>
    <t>Chopping Mall</t>
  </si>
  <si>
    <t>Casper</t>
  </si>
  <si>
    <t>Scream 3 (Live)</t>
  </si>
  <si>
    <t>Stay Tuned</t>
  </si>
  <si>
    <t>Deep Blue Sea</t>
  </si>
  <si>
    <t>China O'Brien</t>
  </si>
  <si>
    <t>Copycat</t>
  </si>
  <si>
    <t>Date with an Angel</t>
  </si>
  <si>
    <t>Ghostbusters II</t>
  </si>
  <si>
    <t>The Good Son</t>
  </si>
  <si>
    <t>Jingle All the Way</t>
  </si>
  <si>
    <t>The Core</t>
  </si>
  <si>
    <t>After Earth</t>
  </si>
  <si>
    <t>Easy Rider: The Ride Back</t>
  </si>
  <si>
    <t>Getaway</t>
  </si>
  <si>
    <t>A Good Day to Die Hard</t>
  </si>
  <si>
    <t>Pray for Death</t>
  </si>
  <si>
    <t>Masters of the Universe (Live)</t>
  </si>
  <si>
    <t>Hard Target</t>
  </si>
  <si>
    <t>Mrs. Doubtfire</t>
  </si>
  <si>
    <t>Blame it on Rio</t>
  </si>
  <si>
    <t>Canvas</t>
  </si>
  <si>
    <t>Dreamcatcher</t>
  </si>
  <si>
    <t>My Science Project</t>
  </si>
  <si>
    <t>North</t>
  </si>
  <si>
    <t>Joysticks</t>
  </si>
  <si>
    <t>The Karate Kid, Part III</t>
  </si>
  <si>
    <t>Hail Caesar</t>
  </si>
  <si>
    <t>Every Which Way But Loose</t>
  </si>
  <si>
    <t>The Butterfly Effect</t>
  </si>
  <si>
    <t>Abraxas, Guardian of the Universe</t>
  </si>
  <si>
    <t>Hot Dogâ€¦The Movie</t>
  </si>
  <si>
    <t>Hamburger: The Motion Picture</t>
  </si>
  <si>
    <t>Mystery Men</t>
  </si>
  <si>
    <t>Mortal Kombat</t>
  </si>
  <si>
    <t>Swordfish</t>
  </si>
  <si>
    <t>Catwoman</t>
  </si>
  <si>
    <t>Stroker Ace</t>
  </si>
  <si>
    <t>Planet of the Apes</t>
  </si>
  <si>
    <t>The Day After Tomorrow</t>
  </si>
  <si>
    <t>Under Siege 2: Dark Territory</t>
  </si>
  <si>
    <t>TMNT II: The Secret of the Ooze</t>
  </si>
  <si>
    <t>The Substitute</t>
  </si>
  <si>
    <t>Timecop</t>
  </si>
  <si>
    <t>Secret Window</t>
  </si>
  <si>
    <t>Double Dragon</t>
  </si>
  <si>
    <t>C.H.U.D. II: Bud the C.H.U.D.</t>
  </si>
  <si>
    <t>Jason Goes to Hell: The Final Friday</t>
  </si>
  <si>
    <t>I Still Know What You Did Last Summer</t>
  </si>
  <si>
    <t>Child's Play 3</t>
  </si>
  <si>
    <t>Wild in the Streets</t>
  </si>
  <si>
    <t>Johnny Mnemonic</t>
  </si>
  <si>
    <t>The Hand That Rocks the Cradle</t>
  </si>
  <si>
    <t>Buried Alive</t>
  </si>
  <si>
    <t>Three Men and a Baby</t>
  </si>
  <si>
    <t>Jingle All the Way 2</t>
  </si>
  <si>
    <t>Super Mario Bros.</t>
  </si>
  <si>
    <t>Look Who's Talking Now</t>
  </si>
  <si>
    <t>I, Frankenstein</t>
  </si>
  <si>
    <t>Winter's Tale</t>
  </si>
  <si>
    <t>Dracula Untold</t>
  </si>
  <si>
    <t>Sabotage</t>
  </si>
  <si>
    <t>Taking Lives</t>
  </si>
  <si>
    <t>Stigmata</t>
  </si>
  <si>
    <t>Seventh Son</t>
  </si>
  <si>
    <t>White Noise</t>
  </si>
  <si>
    <t>Teen Wolf Too</t>
  </si>
  <si>
    <t>Fatal Beauty</t>
  </si>
  <si>
    <t>Moontrap</t>
  </si>
  <si>
    <t>Twisted</t>
  </si>
  <si>
    <t>Next of Kin</t>
  </si>
  <si>
    <t>The Juror</t>
  </si>
  <si>
    <t>Face/Off</t>
  </si>
  <si>
    <t>Red Heat</t>
  </si>
  <si>
    <t>Loverboy</t>
  </si>
  <si>
    <t>Teen Witch</t>
  </si>
  <si>
    <t>House Arrest</t>
  </si>
  <si>
    <t>Blind Fury</t>
  </si>
  <si>
    <t>Space Jam</t>
  </si>
  <si>
    <t>The Lost World: Jurassic Park</t>
  </si>
  <si>
    <t>Stealth</t>
  </si>
  <si>
    <t>Camp Nowhere</t>
  </si>
  <si>
    <t>Son of the Mask</t>
  </si>
  <si>
    <t>Terminator 3: Rise of the Machines</t>
  </si>
  <si>
    <t>Dragonheart</t>
  </si>
  <si>
    <t>The Matrix Revolutions</t>
  </si>
  <si>
    <t>The League of Extraordinary Gentlemen</t>
  </si>
  <si>
    <t>Green Lantern (Live)</t>
  </si>
  <si>
    <t>Mortal Kombat: Annihilation</t>
  </si>
  <si>
    <t>Cyber Seduction: His Secret Life</t>
  </si>
  <si>
    <t>The Dead Pool</t>
  </si>
  <si>
    <t>The Devil's Advocate</t>
  </si>
  <si>
    <t>Brainscan</t>
  </si>
  <si>
    <t>Killer Workout</t>
  </si>
  <si>
    <t>Freddy vs. Jason</t>
  </si>
  <si>
    <t>Thinner</t>
  </si>
  <si>
    <t>Never Say Never Again</t>
  </si>
  <si>
    <t>Supergirl</t>
  </si>
  <si>
    <t>Weekend at Bernie's</t>
  </si>
  <si>
    <t>Weekend at Bernie's II</t>
  </si>
  <si>
    <t>Care Bears Movie II: A New Generation</t>
  </si>
  <si>
    <t>Bill &amp;  Ted's Bogus Journey</t>
  </si>
  <si>
    <t>Star Wars: Episode II - Attack of the Clones</t>
  </si>
  <si>
    <t>Santa Claus: The Movie</t>
  </si>
  <si>
    <t xml:space="preserve"> Star Wars: Episode VII - The Force Awakens</t>
  </si>
  <si>
    <t>Entourage</t>
  </si>
  <si>
    <t>Russell Madness</t>
  </si>
  <si>
    <t>Pixels</t>
  </si>
  <si>
    <t>The Last Witch Hunter</t>
  </si>
  <si>
    <t>American Shaolin</t>
  </si>
  <si>
    <t>Daredevil</t>
  </si>
  <si>
    <t>The Watcher</t>
  </si>
  <si>
    <t>Olympus Has Fallen (Live in D.C.)</t>
  </si>
  <si>
    <t>The Shadow</t>
  </si>
  <si>
    <t>A Letter from Death Row</t>
  </si>
  <si>
    <t>Nightmare Beach</t>
  </si>
  <si>
    <t>Antitrust</t>
  </si>
  <si>
    <t>Batman v Superman: Dawn of Justice</t>
  </si>
  <si>
    <t>Dungeons &amp; Dragons</t>
  </si>
  <si>
    <t>My Best Friend's Wedding</t>
  </si>
  <si>
    <t>The Wizard</t>
  </si>
  <si>
    <t>Larry the Cable Guy: Health Inspector</t>
  </si>
  <si>
    <t>Waterworld (Live!)</t>
  </si>
  <si>
    <t>American Dreamz</t>
  </si>
  <si>
    <t>Highlander II: The Quickening</t>
  </si>
  <si>
    <t>Kindergarten Cop 2</t>
  </si>
  <si>
    <t>X-Men: The Last Stand</t>
  </si>
  <si>
    <t>Speed 2: Cruise Control</t>
  </si>
  <si>
    <t>Don't Tell Mom the Babysitter's Dead</t>
  </si>
  <si>
    <t>Street Fighter</t>
  </si>
  <si>
    <t>Another 48 Hrs.</t>
  </si>
  <si>
    <t>Wild Wild West</t>
  </si>
  <si>
    <t>Lady in the Water</t>
  </si>
  <si>
    <t>Star Trek V: The Final Frontier</t>
  </si>
  <si>
    <t>Con Air</t>
  </si>
  <si>
    <t>Predator 2 (Live)</t>
  </si>
  <si>
    <t>Jupiter Ascending (Live)</t>
  </si>
  <si>
    <t>Teenage Mutant Ninja Turtles III (Live)</t>
  </si>
  <si>
    <t>The Amazing Spider-Man 2</t>
  </si>
  <si>
    <t>The Substitute 2: School's Out</t>
  </si>
  <si>
    <t>Anaconda</t>
  </si>
  <si>
    <t>Hollow Man</t>
  </si>
  <si>
    <t>Pet Sematary II</t>
  </si>
  <si>
    <t>Halloween: The Curse of Michael Myers</t>
  </si>
  <si>
    <t>Ernest Scared Stupid</t>
  </si>
  <si>
    <t>Texas Chainsaw Massacre: The Next Generation</t>
  </si>
  <si>
    <t>Ghosts Can't Do It</t>
  </si>
  <si>
    <t>Don't Tell Her It's Me</t>
  </si>
  <si>
    <t>Fantastic Four (2005)</t>
  </si>
  <si>
    <t>The Happening</t>
  </si>
  <si>
    <t>Suburban Commando (Live)</t>
  </si>
  <si>
    <t>Surviving the Game</t>
  </si>
  <si>
    <t>End of Days</t>
  </si>
  <si>
    <t>Demolition Man</t>
  </si>
  <si>
    <t>The Santa Clause 3: The Escape Clause</t>
  </si>
  <si>
    <t>Batman &amp; Robin (Live)</t>
  </si>
  <si>
    <t>Collateral Beauty</t>
  </si>
  <si>
    <t>Dirty Grandpa</t>
  </si>
  <si>
    <t>Suicide Squad</t>
  </si>
  <si>
    <t>Gods of Egypt</t>
  </si>
  <si>
    <t>Independence Day: Resurgence</t>
  </si>
  <si>
    <t>Bee Movie</t>
  </si>
  <si>
    <t>My Father the Hero</t>
  </si>
  <si>
    <t>Retroactive</t>
  </si>
  <si>
    <t>Tango &amp; Cash</t>
  </si>
  <si>
    <t>The Last Airbender</t>
  </si>
  <si>
    <t>Highlander III: The Final Dimension</t>
  </si>
  <si>
    <t>Ultraviolet</t>
  </si>
  <si>
    <t>Power Rangers (2017)</t>
  </si>
  <si>
    <t>Overboard</t>
  </si>
  <si>
    <t>Sidekicks</t>
  </si>
  <si>
    <t>Howard The Duck (Live)</t>
  </si>
  <si>
    <t>Hot to Trot</t>
  </si>
  <si>
    <t>Death Wish 3</t>
  </si>
  <si>
    <t>300</t>
  </si>
  <si>
    <t>AVP: Alien vs Predator</t>
  </si>
  <si>
    <t>Ninja III: The Domination</t>
  </si>
  <si>
    <t>Disclosure</t>
  </si>
  <si>
    <t>Transformers (2007)</t>
  </si>
  <si>
    <t>Transformers: Revenge of the Fallen</t>
  </si>
  <si>
    <t>Transformers: Dark of the Moon</t>
  </si>
  <si>
    <t>Friday the 13th: Part 7 - The New Blood (Live)</t>
  </si>
  <si>
    <t>Transformers: Age of Extinction</t>
  </si>
  <si>
    <t>Encino Man</t>
  </si>
  <si>
    <t>Transformers: The Last Knight</t>
  </si>
  <si>
    <t>Air Force One</t>
  </si>
  <si>
    <t>Spider-Man 3</t>
  </si>
  <si>
    <t>Fantastic Four: Rise of the Silver Surfer (Live)</t>
  </si>
  <si>
    <t>Over the Top (Live)</t>
  </si>
  <si>
    <t>Mac &amp; Me (Live)</t>
  </si>
  <si>
    <t>IT (1990)</t>
  </si>
  <si>
    <t>If Looks Could Kill</t>
  </si>
  <si>
    <t>Samurai Cop</t>
  </si>
  <si>
    <t>Freddy's Dead: The Final Nightmare</t>
  </si>
  <si>
    <t>Dr. Giggles</t>
  </si>
  <si>
    <t>Scream 2</t>
  </si>
  <si>
    <t>Saw</t>
  </si>
  <si>
    <t>Trick or Treat</t>
  </si>
  <si>
    <t>Rising Sun</t>
  </si>
  <si>
    <t>The Fan</t>
  </si>
  <si>
    <t>Murder at 1600</t>
  </si>
  <si>
    <t>Drop Zone</t>
  </si>
  <si>
    <t>The Punisher (2004)</t>
  </si>
  <si>
    <t>Hard to Kill</t>
  </si>
  <si>
    <t>Pottersville</t>
  </si>
  <si>
    <t xml:space="preserve"> Star Wars: Episode VIII - The Last Jedi</t>
  </si>
  <si>
    <t>Constantine (Live)</t>
  </si>
  <si>
    <t>The Boss Baby</t>
  </si>
  <si>
    <t>Bright</t>
  </si>
  <si>
    <t>The Fate of the Furious</t>
  </si>
  <si>
    <t>The Bye Bye Man</t>
  </si>
  <si>
    <t>Geostorm</t>
  </si>
  <si>
    <t>Going In Style</t>
  </si>
  <si>
    <t>Blade: Trinity (Live)</t>
  </si>
  <si>
    <t>Man Of Steel</t>
  </si>
  <si>
    <t>You've Got Mail</t>
  </si>
  <si>
    <t>Traces of Red</t>
  </si>
  <si>
    <t>Death Wish V: The Face of Death</t>
  </si>
  <si>
    <t>The Jerky Boys</t>
  </si>
  <si>
    <t>Ghost Rider: Spirit of Vengeance</t>
  </si>
  <si>
    <t>Maximum Overdrive (Live)</t>
  </si>
  <si>
    <t>I'll Always Know What You Did Last Summer</t>
  </si>
  <si>
    <t>Tarzan the Ape Man</t>
  </si>
  <si>
    <t>I Know Who Killed Me</t>
  </si>
  <si>
    <t>Shrek</t>
  </si>
  <si>
    <t>Wild Hogs</t>
  </si>
  <si>
    <t>Jungle 2 Jungle</t>
  </si>
  <si>
    <t>Lost in Space</t>
  </si>
  <si>
    <t>Airborne</t>
  </si>
  <si>
    <t>The Bucket List</t>
  </si>
  <si>
    <t>Dollman</t>
  </si>
  <si>
    <t>Transcendence</t>
  </si>
  <si>
    <t>The X-Files: I Want To Believe</t>
  </si>
  <si>
    <t>Witless Protection</t>
  </si>
  <si>
    <t>X-Men Origins: Wolverine</t>
  </si>
  <si>
    <t>Ocean's Twelve</t>
  </si>
  <si>
    <t>xXx</t>
  </si>
  <si>
    <t>Jurassic World</t>
  </si>
  <si>
    <t>Jurassic Park III</t>
  </si>
  <si>
    <t>Lethal Weapon 4</t>
  </si>
  <si>
    <t>Rambo III</t>
  </si>
  <si>
    <t>Runaway Bride</t>
  </si>
  <si>
    <t>Americaâ€™s Sweethearts</t>
  </si>
  <si>
    <t>Eraser</t>
  </si>
  <si>
    <t>Rookie of the Year</t>
  </si>
  <si>
    <t>Armageddon</t>
  </si>
  <si>
    <t>The Emoji Movie (Live)</t>
  </si>
  <si>
    <t>Jason X (Live)</t>
  </si>
  <si>
    <t>Friday the 13th Part VIII: Jason Takes Manhattan</t>
  </si>
  <si>
    <t>Tank Girl (Live)</t>
  </si>
  <si>
    <t>Cobra (Live)</t>
  </si>
  <si>
    <t>The Flintstones</t>
  </si>
  <si>
    <t>Ready Player One</t>
  </si>
  <si>
    <t>Masterminds</t>
  </si>
  <si>
    <t>Aliens vs. Predator: Requiem</t>
  </si>
  <si>
    <t>The Stepford Wives (2004)</t>
  </si>
  <si>
    <t>Hellraiser III: Hell on Earth</t>
  </si>
  <si>
    <t>Man's Best Friend</t>
  </si>
  <si>
    <t>Halloween: Resurrection</t>
  </si>
  <si>
    <t>Van Helsing</t>
  </si>
  <si>
    <t>Urban Legend</t>
  </si>
  <si>
    <t>Wishmaster</t>
  </si>
  <si>
    <t>The Cat in the Hat</t>
  </si>
  <si>
    <t>How the Grinch Stole Christmas</t>
  </si>
  <si>
    <t>The One</t>
  </si>
  <si>
    <t>Robin Hood: Prince of Thieves</t>
  </si>
  <si>
    <t>RiÂ¢hie RiÂ¢h</t>
  </si>
  <si>
    <t>Terminator 2: Judgment Day</t>
  </si>
  <si>
    <t>Star Wars</t>
  </si>
  <si>
    <t>Back To The Future</t>
  </si>
  <si>
    <t>It's A Wonderful Life</t>
  </si>
  <si>
    <t>Episode 001</t>
  </si>
  <si>
    <t>Episode 002</t>
  </si>
  <si>
    <t>Episode 003</t>
  </si>
  <si>
    <t>Episode 004</t>
  </si>
  <si>
    <t>Episode 005</t>
  </si>
  <si>
    <t>Episode 006</t>
  </si>
  <si>
    <t>Episode 007</t>
  </si>
  <si>
    <t>Episode 008</t>
  </si>
  <si>
    <t>Episode 009</t>
  </si>
  <si>
    <t>Episode 010</t>
  </si>
  <si>
    <t>Episode 011</t>
  </si>
  <si>
    <t>Episode 012</t>
  </si>
  <si>
    <t>Episode 013</t>
  </si>
  <si>
    <t>Episode 014</t>
  </si>
  <si>
    <t>Episode 015</t>
  </si>
  <si>
    <t>Episode 016</t>
  </si>
  <si>
    <t>Episode 017</t>
  </si>
  <si>
    <t>Episode 018</t>
  </si>
  <si>
    <t>Episode 019</t>
  </si>
  <si>
    <t>Episode 020</t>
  </si>
  <si>
    <t>Episode 021</t>
  </si>
  <si>
    <t>Episode 022</t>
  </si>
  <si>
    <t>Episode 023</t>
  </si>
  <si>
    <t>Episode 024</t>
  </si>
  <si>
    <t>Episode 025</t>
  </si>
  <si>
    <t>Episode 026</t>
  </si>
  <si>
    <t>Episode 027</t>
  </si>
  <si>
    <t>Episode 028</t>
  </si>
  <si>
    <t>Episode 029</t>
  </si>
  <si>
    <t>Episode 030</t>
  </si>
  <si>
    <t>Episode 031</t>
  </si>
  <si>
    <t>Episode 032</t>
  </si>
  <si>
    <t>Episode 033</t>
  </si>
  <si>
    <t>Episode 034</t>
  </si>
  <si>
    <t>Episode 035</t>
  </si>
  <si>
    <t>Episode 036</t>
  </si>
  <si>
    <t>Episode 037</t>
  </si>
  <si>
    <t>Episode 038</t>
  </si>
  <si>
    <t>Episode 039</t>
  </si>
  <si>
    <t>Episode 040</t>
  </si>
  <si>
    <t>Episode 041</t>
  </si>
  <si>
    <t>Episode 042</t>
  </si>
  <si>
    <t>Episode 043</t>
  </si>
  <si>
    <t>Episode 044</t>
  </si>
  <si>
    <t>Episode 045</t>
  </si>
  <si>
    <t>Episode 046</t>
  </si>
  <si>
    <t>Episode 047</t>
  </si>
  <si>
    <t>Episode 048</t>
  </si>
  <si>
    <t>Episode 049</t>
  </si>
  <si>
    <t>Episode 050</t>
  </si>
  <si>
    <t>Episode 051</t>
  </si>
  <si>
    <t>Episode 052</t>
  </si>
  <si>
    <t>Episode 053</t>
  </si>
  <si>
    <t>Episode 054</t>
  </si>
  <si>
    <t>Episode 055</t>
  </si>
  <si>
    <t>Episode 056</t>
  </si>
  <si>
    <t>Episode 057</t>
  </si>
  <si>
    <t>Episode 058</t>
  </si>
  <si>
    <t>Episode 059</t>
  </si>
  <si>
    <t>Episode 060</t>
  </si>
  <si>
    <t>Episode 061</t>
  </si>
  <si>
    <t>Episode 062</t>
  </si>
  <si>
    <t>Episode 063</t>
  </si>
  <si>
    <t>Episode 064</t>
  </si>
  <si>
    <t>Episode 065</t>
  </si>
  <si>
    <t>Episode 066</t>
  </si>
  <si>
    <t>Episode 067</t>
  </si>
  <si>
    <t>Episode 068</t>
  </si>
  <si>
    <t>Episode 069</t>
  </si>
  <si>
    <t>Episode 070</t>
  </si>
  <si>
    <t>Episode 071</t>
  </si>
  <si>
    <t>Episode 072</t>
  </si>
  <si>
    <t>Episode 073</t>
  </si>
  <si>
    <t>Episode 074</t>
  </si>
  <si>
    <t>Episode 075</t>
  </si>
  <si>
    <t>Episode 076</t>
  </si>
  <si>
    <t>Episode 077</t>
  </si>
  <si>
    <t>Episode 078</t>
  </si>
  <si>
    <t>Episode 079</t>
  </si>
  <si>
    <t>Episode 080</t>
  </si>
  <si>
    <t>Episode 081</t>
  </si>
  <si>
    <t>Episode 082</t>
  </si>
  <si>
    <t>Episode 083</t>
  </si>
  <si>
    <t>Episode 084</t>
  </si>
  <si>
    <t>Episode 085</t>
  </si>
  <si>
    <t>Episode 086</t>
  </si>
  <si>
    <t>Episode 088</t>
  </si>
  <si>
    <t>Episode 089</t>
  </si>
  <si>
    <t>Episode 090</t>
  </si>
  <si>
    <t>Episode 091</t>
  </si>
  <si>
    <t>Episode 092</t>
  </si>
  <si>
    <t>Episode 093</t>
  </si>
  <si>
    <t>Episode 094</t>
  </si>
  <si>
    <t>Episode 095</t>
  </si>
  <si>
    <t>Episode 096</t>
  </si>
  <si>
    <t>Episode 097</t>
  </si>
  <si>
    <t>Episode 098</t>
  </si>
  <si>
    <t>Episode 099</t>
  </si>
  <si>
    <t>Episode 100</t>
  </si>
  <si>
    <t>Episode 101</t>
  </si>
  <si>
    <t>Episode 102</t>
  </si>
  <si>
    <t>Episode 103</t>
  </si>
  <si>
    <t>Episode 104</t>
  </si>
  <si>
    <t>Episode 105</t>
  </si>
  <si>
    <t>Episode 106</t>
  </si>
  <si>
    <t>Episode 107</t>
  </si>
  <si>
    <t>Episode 108</t>
  </si>
  <si>
    <t>Episode 109</t>
  </si>
  <si>
    <t>Episode 110</t>
  </si>
  <si>
    <t>Episode 111</t>
  </si>
  <si>
    <t>Episode 112</t>
  </si>
  <si>
    <t>Episode 113</t>
  </si>
  <si>
    <t>Episode 114</t>
  </si>
  <si>
    <t>Episode 115</t>
  </si>
  <si>
    <t>Episode 116</t>
  </si>
  <si>
    <t>Episode 117</t>
  </si>
  <si>
    <t>Episode 118</t>
  </si>
  <si>
    <t>Episode 119</t>
  </si>
  <si>
    <t>Episode 120</t>
  </si>
  <si>
    <t>Episode 121</t>
  </si>
  <si>
    <t>Episode 122</t>
  </si>
  <si>
    <t>Episode 123</t>
  </si>
  <si>
    <t>Episode 124</t>
  </si>
  <si>
    <t>Episode 125</t>
  </si>
  <si>
    <t>Episode 126</t>
  </si>
  <si>
    <t>Episode 127</t>
  </si>
  <si>
    <t>Episode 128</t>
  </si>
  <si>
    <t>Episode 129</t>
  </si>
  <si>
    <t>Episode 130</t>
  </si>
  <si>
    <t>Episode 131</t>
  </si>
  <si>
    <t>Episode 132</t>
  </si>
  <si>
    <t>Episode 133</t>
  </si>
  <si>
    <t>Episode 134</t>
  </si>
  <si>
    <t>Episode 135</t>
  </si>
  <si>
    <t>Episode 136</t>
  </si>
  <si>
    <t>Episode 137</t>
  </si>
  <si>
    <t>Episode 138</t>
  </si>
  <si>
    <t>Episode 139</t>
  </si>
  <si>
    <t>Episode 140</t>
  </si>
  <si>
    <t>Episode 141</t>
  </si>
  <si>
    <t>Episode 142</t>
  </si>
  <si>
    <t>Episode 143</t>
  </si>
  <si>
    <t>Episode 144</t>
  </si>
  <si>
    <t>Episode 145</t>
  </si>
  <si>
    <t>Episode 146</t>
  </si>
  <si>
    <t>Episode 147</t>
  </si>
  <si>
    <t>Episode 148</t>
  </si>
  <si>
    <t>Episode 149</t>
  </si>
  <si>
    <t>Episode 150</t>
  </si>
  <si>
    <t>Episode 151</t>
  </si>
  <si>
    <t>Episode 152</t>
  </si>
  <si>
    <t>Episode 153</t>
  </si>
  <si>
    <t>Episode 154</t>
  </si>
  <si>
    <t>Episode 155</t>
  </si>
  <si>
    <t>Episode 156</t>
  </si>
  <si>
    <t>Episode 157</t>
  </si>
  <si>
    <t>Episode 158</t>
  </si>
  <si>
    <t>Episode 159</t>
  </si>
  <si>
    <t>Episode 160</t>
  </si>
  <si>
    <t>Episode 161</t>
  </si>
  <si>
    <t>Episode 162</t>
  </si>
  <si>
    <t>Episode 163</t>
  </si>
  <si>
    <t>Episode 164</t>
  </si>
  <si>
    <t>Episode 165</t>
  </si>
  <si>
    <t>Episode 166</t>
  </si>
  <si>
    <t>Episode 167</t>
  </si>
  <si>
    <t>Episode 168</t>
  </si>
  <si>
    <t>Episode 169</t>
  </si>
  <si>
    <t>Episode 170</t>
  </si>
  <si>
    <t>Episode 171</t>
  </si>
  <si>
    <t>Episode 172</t>
  </si>
  <si>
    <t>Episode 173</t>
  </si>
  <si>
    <t>Episode 174</t>
  </si>
  <si>
    <t>Episode 175</t>
  </si>
  <si>
    <t>Episode 176</t>
  </si>
  <si>
    <t>Episode 177</t>
  </si>
  <si>
    <t>Episode 178</t>
  </si>
  <si>
    <t>Episode 179</t>
  </si>
  <si>
    <t>Episode 180</t>
  </si>
  <si>
    <t>Episode 181</t>
  </si>
  <si>
    <t>Episode 182</t>
  </si>
  <si>
    <t>Episode 183</t>
  </si>
  <si>
    <t>Episode 184</t>
  </si>
  <si>
    <t>Episode 185</t>
  </si>
  <si>
    <t>Episode 186</t>
  </si>
  <si>
    <t>Episode 187</t>
  </si>
  <si>
    <t>Episode 188</t>
  </si>
  <si>
    <t>Episode 189</t>
  </si>
  <si>
    <t>Episode 190</t>
  </si>
  <si>
    <t>Episode 191</t>
  </si>
  <si>
    <t>Episode 192</t>
  </si>
  <si>
    <t>Episode 193</t>
  </si>
  <si>
    <t>Episode 194</t>
  </si>
  <si>
    <t>Episode 195</t>
  </si>
  <si>
    <t>Episode 196</t>
  </si>
  <si>
    <t>Episode 197</t>
  </si>
  <si>
    <t>Episode 198</t>
  </si>
  <si>
    <t>Episode 199</t>
  </si>
  <si>
    <t>Episode 200</t>
  </si>
  <si>
    <t>Episode 201</t>
  </si>
  <si>
    <t>Episode 202</t>
  </si>
  <si>
    <t>Episode 203</t>
  </si>
  <si>
    <t>Episode 204</t>
  </si>
  <si>
    <t>Episode 205</t>
  </si>
  <si>
    <t>Episode 206</t>
  </si>
  <si>
    <t>Episode 207</t>
  </si>
  <si>
    <t>Episode 208</t>
  </si>
  <si>
    <t>Episode 209</t>
  </si>
  <si>
    <t>Episode 210</t>
  </si>
  <si>
    <t>Episode 211</t>
  </si>
  <si>
    <t>Episode 212</t>
  </si>
  <si>
    <t>Episode 213</t>
  </si>
  <si>
    <t>Episode 214</t>
  </si>
  <si>
    <t>Episode 215</t>
  </si>
  <si>
    <t>Episode 216</t>
  </si>
  <si>
    <t>Episode 217</t>
  </si>
  <si>
    <t>Episode 218</t>
  </si>
  <si>
    <t>Episode 219</t>
  </si>
  <si>
    <t>Episode 220</t>
  </si>
  <si>
    <t>Episode 221</t>
  </si>
  <si>
    <t>Episode 222</t>
  </si>
  <si>
    <t>Episode 223</t>
  </si>
  <si>
    <t>Episode 224</t>
  </si>
  <si>
    <t>Episode 225</t>
  </si>
  <si>
    <t>Episode 226</t>
  </si>
  <si>
    <t>Episode 227</t>
  </si>
  <si>
    <t>Episode 228</t>
  </si>
  <si>
    <t>Episode 229</t>
  </si>
  <si>
    <t>Episode 230</t>
  </si>
  <si>
    <t>Episode 231</t>
  </si>
  <si>
    <t>Episode 232</t>
  </si>
  <si>
    <t>Episode 233</t>
  </si>
  <si>
    <t>Episode 234</t>
  </si>
  <si>
    <t>Episode 235</t>
  </si>
  <si>
    <t>Episode 236</t>
  </si>
  <si>
    <t>Episode 237</t>
  </si>
  <si>
    <t>Episode 238</t>
  </si>
  <si>
    <t>Episode 239</t>
  </si>
  <si>
    <t>Episode 240</t>
  </si>
  <si>
    <t>Episode 241</t>
  </si>
  <si>
    <t>Episode 242</t>
  </si>
  <si>
    <t>Episode 243</t>
  </si>
  <si>
    <t>Episode 244</t>
  </si>
  <si>
    <t>Episode 245</t>
  </si>
  <si>
    <t>Episode 246</t>
  </si>
  <si>
    <t>Episode 247</t>
  </si>
  <si>
    <t>Episode 248</t>
  </si>
  <si>
    <t>Episode 249</t>
  </si>
  <si>
    <t>Episode 250</t>
  </si>
  <si>
    <t>Episode 251</t>
  </si>
  <si>
    <t>Episode 252</t>
  </si>
  <si>
    <t>Episode 253</t>
  </si>
  <si>
    <t>Episode 254</t>
  </si>
  <si>
    <t>Episode 255</t>
  </si>
  <si>
    <t>Episode 256</t>
  </si>
  <si>
    <t>Episode 257</t>
  </si>
  <si>
    <t>Episode 258</t>
  </si>
  <si>
    <t>Episode 259</t>
  </si>
  <si>
    <t>Episode 260</t>
  </si>
  <si>
    <t>Episode 261</t>
  </si>
  <si>
    <t>Episode 262</t>
  </si>
  <si>
    <t>Episode 263</t>
  </si>
  <si>
    <t>Episode 264</t>
  </si>
  <si>
    <t>Episode 265</t>
  </si>
  <si>
    <t>Episode 266</t>
  </si>
  <si>
    <t>Episode 267</t>
  </si>
  <si>
    <t>Episode 268</t>
  </si>
  <si>
    <t>Episode 269</t>
  </si>
  <si>
    <t>Episode 270</t>
  </si>
  <si>
    <t>Episode 271</t>
  </si>
  <si>
    <t>Episode 272</t>
  </si>
  <si>
    <t>Episode 273</t>
  </si>
  <si>
    <t>Episode 274</t>
  </si>
  <si>
    <t>Episode 275</t>
  </si>
  <si>
    <t>Episode 276</t>
  </si>
  <si>
    <t>Episode 277</t>
  </si>
  <si>
    <t>Episode 278</t>
  </si>
  <si>
    <t>Episode 279</t>
  </si>
  <si>
    <t>Episode 280</t>
  </si>
  <si>
    <t>Episode 281</t>
  </si>
  <si>
    <t>Episode 282</t>
  </si>
  <si>
    <t>Episode 283</t>
  </si>
  <si>
    <t>Episode 284</t>
  </si>
  <si>
    <t>Episode 285</t>
  </si>
  <si>
    <t>Episode 286</t>
  </si>
  <si>
    <t>Episode 287</t>
  </si>
  <si>
    <t>Episode 288</t>
  </si>
  <si>
    <t>Episode 289</t>
  </si>
  <si>
    <t>Episode 290</t>
  </si>
  <si>
    <t>Episode 291</t>
  </si>
  <si>
    <t>Episode 292</t>
  </si>
  <si>
    <t>Episode 293</t>
  </si>
  <si>
    <t>Episode 294</t>
  </si>
  <si>
    <t>Episode 295</t>
  </si>
  <si>
    <t>Episode 296</t>
  </si>
  <si>
    <t>Episode 297</t>
  </si>
  <si>
    <t>Episode 298</t>
  </si>
  <si>
    <t>Episode 299</t>
  </si>
  <si>
    <t>Episode 300</t>
  </si>
  <si>
    <t>Episode 301</t>
  </si>
  <si>
    <t>Episode 302</t>
  </si>
  <si>
    <t>Episode 303</t>
  </si>
  <si>
    <t>Episode 304</t>
  </si>
  <si>
    <t>Episode 305</t>
  </si>
  <si>
    <t>Episode 306</t>
  </si>
  <si>
    <t>Episode 307</t>
  </si>
  <si>
    <t>Episode 308</t>
  </si>
  <si>
    <t>Episode 309</t>
  </si>
  <si>
    <t>Episode 310</t>
  </si>
  <si>
    <t>Episode 311</t>
  </si>
  <si>
    <t>Episode 312</t>
  </si>
  <si>
    <t>Episode 313)</t>
  </si>
  <si>
    <t>Episode 314</t>
  </si>
  <si>
    <t>Episode 315</t>
  </si>
  <si>
    <t>Episode 316</t>
  </si>
  <si>
    <t>Episode 317</t>
  </si>
  <si>
    <t>Episode 318</t>
  </si>
  <si>
    <t>Episode 319</t>
  </si>
  <si>
    <t>Episode 320</t>
  </si>
  <si>
    <t>Episode 321</t>
  </si>
  <si>
    <t>Episode 322</t>
  </si>
  <si>
    <t>Episode 323</t>
  </si>
  <si>
    <t>Episode 324</t>
  </si>
  <si>
    <t>Episode 325</t>
  </si>
  <si>
    <t>Episode 326</t>
  </si>
  <si>
    <t>Episode 327</t>
  </si>
  <si>
    <t>Episode 328</t>
  </si>
  <si>
    <t>Episode 329</t>
  </si>
  <si>
    <t>Episode 330</t>
  </si>
  <si>
    <t>Episode 331</t>
  </si>
  <si>
    <t>Episode 332</t>
  </si>
  <si>
    <t>Episode 333</t>
  </si>
  <si>
    <t>Episode 334</t>
  </si>
  <si>
    <t>Episode 335</t>
  </si>
  <si>
    <t>Episode 336</t>
  </si>
  <si>
    <t>Episode 337</t>
  </si>
  <si>
    <t>Episode 338</t>
  </si>
  <si>
    <t>Episode 339</t>
  </si>
  <si>
    <t>Episode 340</t>
  </si>
  <si>
    <t>Episode 341</t>
  </si>
  <si>
    <t>Episode 342</t>
  </si>
  <si>
    <t>Episode 343</t>
  </si>
  <si>
    <t>Episode 344</t>
  </si>
  <si>
    <t>Episode 345</t>
  </si>
  <si>
    <t>Episode 346</t>
  </si>
  <si>
    <t>Episode 347</t>
  </si>
  <si>
    <t>Episode 348</t>
  </si>
  <si>
    <t>Episode 349</t>
  </si>
  <si>
    <t>Episode 350</t>
  </si>
  <si>
    <t>Episode 351</t>
  </si>
  <si>
    <t>Episode 352</t>
  </si>
  <si>
    <t>Episode 353</t>
  </si>
  <si>
    <t>Episode 354</t>
  </si>
  <si>
    <t>Episode 355</t>
  </si>
  <si>
    <t>Episode 356</t>
  </si>
  <si>
    <t>Episode 357</t>
  </si>
  <si>
    <t>Episode 358</t>
  </si>
  <si>
    <t>Episode 359</t>
  </si>
  <si>
    <t>Episode 360</t>
  </si>
  <si>
    <t>Episode 361</t>
  </si>
  <si>
    <t>Episode 362</t>
  </si>
  <si>
    <t>Episode 363</t>
  </si>
  <si>
    <t>Episode 364</t>
  </si>
  <si>
    <t>Episode 365</t>
  </si>
  <si>
    <t>Episode 366</t>
  </si>
  <si>
    <t>Episode 367</t>
  </si>
  <si>
    <t>Episode 368</t>
  </si>
  <si>
    <t>Episode 369</t>
  </si>
  <si>
    <t>Episode 370</t>
  </si>
  <si>
    <t>Episode 371</t>
  </si>
  <si>
    <t>Episode 372</t>
  </si>
  <si>
    <t>Episode 374</t>
  </si>
  <si>
    <t>Episode 375</t>
  </si>
  <si>
    <t>Episode 376</t>
  </si>
  <si>
    <t>Episode 377</t>
  </si>
  <si>
    <t>Episode 378</t>
  </si>
  <si>
    <t>Episode 379</t>
  </si>
  <si>
    <t>Episode 380</t>
  </si>
  <si>
    <t>Episode 381</t>
  </si>
  <si>
    <t>Episode 382</t>
  </si>
  <si>
    <t>Episode 383</t>
  </si>
  <si>
    <t>Episode 384</t>
  </si>
  <si>
    <t>Episode 385</t>
  </si>
  <si>
    <t>Episode 386</t>
  </si>
  <si>
    <t>Episode 387</t>
  </si>
  <si>
    <t>Episode 388</t>
  </si>
  <si>
    <t>Episode 389</t>
  </si>
  <si>
    <t>Episode 390</t>
  </si>
  <si>
    <t>Episode 391</t>
  </si>
  <si>
    <t>Episode 392</t>
  </si>
  <si>
    <t>Episode 393</t>
  </si>
  <si>
    <t>Episode 394</t>
  </si>
  <si>
    <t>Episode 395</t>
  </si>
  <si>
    <t>Episode 087</t>
  </si>
  <si>
    <t>Episode 373</t>
  </si>
  <si>
    <t>Episode 313</t>
  </si>
  <si>
    <t>WHM On-Screen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</si>
</sst>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2"/>
  <sheetViews>
    <sheetView tabSelected="1" topLeftCell="A142" workbookViewId="0">
      <pane xSplit="1" topLeftCell="C1" activePane="topRight" state="frozen"/>
      <selection activeCell="A295" sqref="A295"/>
      <selection pane="topRight" activeCell="A7" sqref="A7"/>
    </sheetView>
  </sheetViews>
  <sheetFormatPr defaultRowHeight="15" x14ac:dyDescent="0.25"/>
  <cols>
    <col min="1" max="1" width="126.7109375" bestFit="1" customWidth="1"/>
    <col min="2" max="2" width="12.5703125" bestFit="1" customWidth="1"/>
    <col min="4" max="4" width="33.85546875" customWidth="1"/>
    <col min="5" max="5" width="14.5703125" customWidth="1"/>
    <col min="6" max="6" width="16.28515625" customWidth="1"/>
    <col min="7" max="7" width="39.28515625" customWidth="1"/>
    <col min="10" max="10" width="28.5703125" bestFit="1" customWidth="1"/>
    <col min="13" max="13" width="8.28515625" customWidth="1"/>
    <col min="14" max="14" width="46.5703125" bestFit="1" customWidth="1"/>
    <col min="15" max="15" width="28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25">
      <c r="A2" t="s">
        <v>8</v>
      </c>
      <c r="B2" s="1">
        <v>40480</v>
      </c>
      <c r="C2" t="s">
        <v>9</v>
      </c>
      <c r="E2" t="s">
        <v>10</v>
      </c>
      <c r="F2" t="s">
        <v>11</v>
      </c>
      <c r="H2" t="s">
        <v>12</v>
      </c>
      <c r="J2" t="str">
        <f>IF(ISNUMBER(SEARCH("Episode",A2:A605)),A2:A605,"")</f>
        <v>Episode 001 - The Pilot / Wired</v>
      </c>
      <c r="M2" t="str">
        <f t="shared" ref="M2:M66" si="0">REPLACE(J2,1,14,"")</f>
        <v>The Pilot / Wired</v>
      </c>
      <c r="N2" s="2" t="s">
        <v>893</v>
      </c>
      <c r="O2" t="s">
        <v>1290</v>
      </c>
      <c r="P2" t="str">
        <f>VLOOKUP(J2,A1:K603,6,TRUE)</f>
        <v>Episode 1</v>
      </c>
    </row>
    <row r="3" spans="1:16" x14ac:dyDescent="0.25">
      <c r="A3" t="s">
        <v>13</v>
      </c>
      <c r="B3" s="1">
        <v>40519</v>
      </c>
      <c r="C3" t="s">
        <v>14</v>
      </c>
      <c r="D3" t="s">
        <v>15</v>
      </c>
      <c r="E3" t="s">
        <v>10</v>
      </c>
      <c r="F3" t="s">
        <v>16</v>
      </c>
      <c r="H3" t="s">
        <v>12</v>
      </c>
      <c r="J3" t="str">
        <f>IF(ISNUMBER(SEARCH("Episode",A3:A606)),A3:A606,"")</f>
        <v>Episode 002 - Number One with a Bullet</v>
      </c>
      <c r="M3" t="str">
        <f t="shared" si="0"/>
        <v>Number One with a Bullet</v>
      </c>
      <c r="N3" s="2" t="s">
        <v>894</v>
      </c>
      <c r="O3" t="s">
        <v>1291</v>
      </c>
      <c r="P3" t="str">
        <f>VLOOKUP(J3,A2:K604,6,TRUE)</f>
        <v>Episode 2</v>
      </c>
    </row>
    <row r="4" spans="1:16" x14ac:dyDescent="0.25">
      <c r="A4" t="s">
        <v>17</v>
      </c>
      <c r="B4" s="1">
        <v>40532</v>
      </c>
      <c r="C4" t="s">
        <v>14</v>
      </c>
      <c r="D4" t="s">
        <v>18</v>
      </c>
      <c r="E4" t="s">
        <v>10</v>
      </c>
      <c r="F4" t="s">
        <v>19</v>
      </c>
      <c r="H4" t="s">
        <v>12</v>
      </c>
      <c r="J4" t="str">
        <f>IF(ISNUMBER(SEARCH("Episode",A4:A607)),A4:A607,"")</f>
        <v>Episode 003 - The Pack</v>
      </c>
      <c r="M4" t="str">
        <f t="shared" si="0"/>
        <v>The Pack</v>
      </c>
      <c r="N4" s="2" t="s">
        <v>895</v>
      </c>
      <c r="O4" t="s">
        <v>1292</v>
      </c>
      <c r="P4" t="str">
        <f>VLOOKUP(J4,A3:K605,6,TRUE)</f>
        <v>Episode 3</v>
      </c>
    </row>
    <row r="5" spans="1:16" x14ac:dyDescent="0.25">
      <c r="A5" t="s">
        <v>20</v>
      </c>
      <c r="B5" s="1">
        <v>40535</v>
      </c>
      <c r="C5" t="s">
        <v>14</v>
      </c>
      <c r="D5" t="s">
        <v>21</v>
      </c>
      <c r="E5" t="s">
        <v>10</v>
      </c>
      <c r="F5" t="s">
        <v>22</v>
      </c>
      <c r="H5" t="s">
        <v>12</v>
      </c>
      <c r="J5" t="str">
        <f>IF(ISNUMBER(SEARCH("Episode",A5:A608)),A5:A608,"")</f>
        <v>Episode 004 - Congo</v>
      </c>
      <c r="M5" t="str">
        <f t="shared" si="0"/>
        <v>Congo</v>
      </c>
      <c r="N5" s="2" t="s">
        <v>896</v>
      </c>
      <c r="O5" t="s">
        <v>1293</v>
      </c>
      <c r="P5" t="str">
        <f>VLOOKUP(J5,A4:K606,6,TRUE)</f>
        <v>Episode 4</v>
      </c>
    </row>
    <row r="6" spans="1:16" x14ac:dyDescent="0.25">
      <c r="A6" t="s">
        <v>23</v>
      </c>
      <c r="B6" s="1">
        <v>40562</v>
      </c>
      <c r="C6" t="s">
        <v>14</v>
      </c>
      <c r="D6" t="s">
        <v>24</v>
      </c>
      <c r="E6" t="s">
        <v>10</v>
      </c>
      <c r="F6" t="s">
        <v>25</v>
      </c>
      <c r="H6" t="s">
        <v>12</v>
      </c>
      <c r="J6" t="str">
        <f>IF(ISNUMBER(SEARCH("Episode",A6:A609)),A6:A609,"")</f>
        <v>Episode 005 - Psychomania</v>
      </c>
      <c r="M6" t="str">
        <f t="shared" si="0"/>
        <v>Psychomania</v>
      </c>
      <c r="N6" s="2" t="s">
        <v>897</v>
      </c>
      <c r="O6" t="s">
        <v>1294</v>
      </c>
      <c r="P6" t="str">
        <f>VLOOKUP(J6,A5:K607,6,TRUE)</f>
        <v>Episode 5</v>
      </c>
    </row>
    <row r="7" spans="1:16" x14ac:dyDescent="0.25">
      <c r="A7" t="s">
        <v>26</v>
      </c>
      <c r="B7" s="1">
        <v>40577</v>
      </c>
      <c r="C7" t="s">
        <v>14</v>
      </c>
      <c r="D7" t="s">
        <v>27</v>
      </c>
      <c r="E7" t="s">
        <v>10</v>
      </c>
      <c r="F7" t="s">
        <v>28</v>
      </c>
      <c r="H7" t="s">
        <v>12</v>
      </c>
      <c r="J7" t="str">
        <f>IF(ISNUMBER(SEARCH("Episode",A7:A610)),A7:A610,"")</f>
        <v>Episode 006 - The Hand</v>
      </c>
      <c r="M7" t="str">
        <f t="shared" si="0"/>
        <v>The Hand</v>
      </c>
      <c r="N7" s="2" t="s">
        <v>898</v>
      </c>
      <c r="O7" t="s">
        <v>1295</v>
      </c>
      <c r="P7" t="str">
        <f>VLOOKUP(J7,A6:K608,6,TRUE)</f>
        <v>Episode 6</v>
      </c>
    </row>
    <row r="8" spans="1:16" x14ac:dyDescent="0.25">
      <c r="A8" t="s">
        <v>29</v>
      </c>
      <c r="B8" s="1">
        <v>40599</v>
      </c>
      <c r="C8" t="s">
        <v>14</v>
      </c>
      <c r="D8" t="s">
        <v>30</v>
      </c>
      <c r="E8" t="s">
        <v>10</v>
      </c>
      <c r="F8" t="s">
        <v>31</v>
      </c>
      <c r="H8" t="s">
        <v>12</v>
      </c>
      <c r="J8" t="str">
        <f>IF(ISNUMBER(SEARCH("Episode",A8:A611)),A8:A611,"")</f>
        <v>Episode 007 - K-9</v>
      </c>
      <c r="M8" t="str">
        <f t="shared" si="0"/>
        <v>K-9</v>
      </c>
      <c r="N8" s="2" t="s">
        <v>899</v>
      </c>
      <c r="O8" t="s">
        <v>1296</v>
      </c>
      <c r="P8" t="str">
        <f>VLOOKUP(J8,A7:K609,6,TRUE)</f>
        <v>Episode 7</v>
      </c>
    </row>
    <row r="9" spans="1:16" x14ac:dyDescent="0.25">
      <c r="A9" t="s">
        <v>32</v>
      </c>
      <c r="B9" s="1">
        <v>40606</v>
      </c>
      <c r="C9" t="s">
        <v>14</v>
      </c>
      <c r="D9" t="s">
        <v>33</v>
      </c>
      <c r="E9" t="s">
        <v>10</v>
      </c>
      <c r="H9" t="s">
        <v>34</v>
      </c>
      <c r="J9" t="str">
        <f>IF(ISNUMBER(SEARCH("Episode",A9:A612)),A9:A612,"")</f>
        <v/>
      </c>
      <c r="M9" t="str">
        <f t="shared" si="0"/>
        <v/>
      </c>
      <c r="N9" s="2" t="s">
        <v>900</v>
      </c>
      <c r="O9" t="s">
        <v>1297</v>
      </c>
      <c r="P9" t="e">
        <f>VLOOKUP(J9,A8:K610,6,TRUE)</f>
        <v>#N/A</v>
      </c>
    </row>
    <row r="10" spans="1:16" x14ac:dyDescent="0.25">
      <c r="A10" t="s">
        <v>35</v>
      </c>
      <c r="B10" s="1">
        <v>40613</v>
      </c>
      <c r="C10" t="s">
        <v>14</v>
      </c>
      <c r="D10" t="s">
        <v>36</v>
      </c>
      <c r="E10" t="s">
        <v>10</v>
      </c>
      <c r="F10" t="s">
        <v>37</v>
      </c>
      <c r="H10" t="s">
        <v>12</v>
      </c>
      <c r="J10" t="str">
        <f>IF(ISNUMBER(SEARCH("Episode",A10:A613)),A10:A613,"")</f>
        <v>Episode 008 - The Wrong Guys</v>
      </c>
      <c r="M10" t="str">
        <f t="shared" si="0"/>
        <v>The Wrong Guys</v>
      </c>
      <c r="N10" s="2" t="s">
        <v>901</v>
      </c>
      <c r="O10" t="s">
        <v>1298</v>
      </c>
      <c r="P10" t="str">
        <f>VLOOKUP(J10,A9:K611,6,TRUE)</f>
        <v>Episode 8</v>
      </c>
    </row>
    <row r="11" spans="1:16" x14ac:dyDescent="0.25">
      <c r="A11" t="s">
        <v>38</v>
      </c>
      <c r="B11" s="1">
        <v>40620</v>
      </c>
      <c r="C11" t="s">
        <v>14</v>
      </c>
      <c r="D11" t="s">
        <v>39</v>
      </c>
      <c r="E11" t="s">
        <v>10</v>
      </c>
      <c r="F11" t="s">
        <v>40</v>
      </c>
      <c r="H11" t="s">
        <v>12</v>
      </c>
      <c r="J11" t="str">
        <f>IF(ISNUMBER(SEARCH("Episode",A11:A614)),A11:A614,"")</f>
        <v>Episode 009 - Dead Heat</v>
      </c>
      <c r="M11" t="str">
        <f t="shared" si="0"/>
        <v>Dead Heat</v>
      </c>
      <c r="N11" s="2" t="s">
        <v>902</v>
      </c>
      <c r="O11" t="s">
        <v>1299</v>
      </c>
      <c r="P11">
        <f>VLOOKUP(J11,A10:K612,6,TRUE)</f>
        <v>0</v>
      </c>
    </row>
    <row r="12" spans="1:16" x14ac:dyDescent="0.25">
      <c r="A12" t="s">
        <v>41</v>
      </c>
      <c r="B12" s="1">
        <v>40634</v>
      </c>
      <c r="C12" t="s">
        <v>14</v>
      </c>
      <c r="D12" t="s">
        <v>42</v>
      </c>
      <c r="E12" t="s">
        <v>10</v>
      </c>
      <c r="F12" t="s">
        <v>43</v>
      </c>
      <c r="H12" t="s">
        <v>12</v>
      </c>
      <c r="J12" t="str">
        <f>IF(ISNUMBER(SEARCH("Episode",A12:A615)),A12:A615,"")</f>
        <v>Episode 010 - Evilspeak</v>
      </c>
      <c r="M12" t="str">
        <f t="shared" si="0"/>
        <v>Evilspeak</v>
      </c>
      <c r="N12" s="2" t="s">
        <v>903</v>
      </c>
      <c r="O12" t="s">
        <v>1300</v>
      </c>
      <c r="P12" t="str">
        <f>VLOOKUP(J12,A11:K613,6,TRUE)</f>
        <v>Episode 10</v>
      </c>
    </row>
    <row r="13" spans="1:16" x14ac:dyDescent="0.25">
      <c r="A13" t="s">
        <v>44</v>
      </c>
      <c r="B13" s="1">
        <v>40659</v>
      </c>
      <c r="C13" t="s">
        <v>14</v>
      </c>
      <c r="D13" t="s">
        <v>45</v>
      </c>
      <c r="E13" t="s">
        <v>10</v>
      </c>
      <c r="F13" t="s">
        <v>46</v>
      </c>
      <c r="H13" t="s">
        <v>12</v>
      </c>
      <c r="J13" t="str">
        <f>IF(ISNUMBER(SEARCH("Episode",A13:A616)),A13:A616,"")</f>
        <v>Episode 011 - Gone Fishin'</v>
      </c>
      <c r="M13" t="str">
        <f t="shared" si="0"/>
        <v>Gone Fishin'</v>
      </c>
      <c r="N13" s="2" t="s">
        <v>904</v>
      </c>
      <c r="O13" t="s">
        <v>1301</v>
      </c>
      <c r="P13">
        <f>VLOOKUP(J13,A12:K614,6,TRUE)</f>
        <v>0</v>
      </c>
    </row>
    <row r="14" spans="1:16" x14ac:dyDescent="0.25">
      <c r="A14" t="s">
        <v>47</v>
      </c>
      <c r="B14" s="1">
        <v>40662</v>
      </c>
      <c r="C14" t="s">
        <v>14</v>
      </c>
      <c r="D14" t="s">
        <v>48</v>
      </c>
      <c r="E14" t="s">
        <v>10</v>
      </c>
      <c r="F14" t="s">
        <v>49</v>
      </c>
      <c r="H14" t="s">
        <v>12</v>
      </c>
      <c r="J14" t="str">
        <f>IF(ISNUMBER(SEARCH("Episode",A14:A617)),A14:A617,"")</f>
        <v>Episode 012 - The Net</v>
      </c>
      <c r="M14" t="str">
        <f t="shared" si="0"/>
        <v>The Net</v>
      </c>
      <c r="N14" s="2" t="s">
        <v>905</v>
      </c>
      <c r="O14" t="s">
        <v>1302</v>
      </c>
      <c r="P14" t="str">
        <f>VLOOKUP(J14,A13:K615,6,TRUE)</f>
        <v>Episode 12</v>
      </c>
    </row>
    <row r="15" spans="1:16" x14ac:dyDescent="0.25">
      <c r="A15" t="s">
        <v>50</v>
      </c>
      <c r="B15" s="1">
        <v>40673</v>
      </c>
      <c r="C15" t="s">
        <v>14</v>
      </c>
      <c r="D15" t="s">
        <v>51</v>
      </c>
      <c r="E15" t="s">
        <v>10</v>
      </c>
      <c r="F15" t="s">
        <v>52</v>
      </c>
      <c r="G15" t="s">
        <v>53</v>
      </c>
      <c r="H15" t="s">
        <v>12</v>
      </c>
      <c r="J15" t="str">
        <f>IF(ISNUMBER(SEARCH("Episode",A15:A618)),A15:A618,"")</f>
        <v>Episode 013 - Superman III &amp; IV Part One</v>
      </c>
      <c r="M15" t="str">
        <f t="shared" si="0"/>
        <v>Superman III &amp; IV Part One</v>
      </c>
      <c r="N15" s="2" t="s">
        <v>906</v>
      </c>
      <c r="O15" t="s">
        <v>1303</v>
      </c>
      <c r="P15" t="str">
        <f>VLOOKUP(J15,A14:K616,6,TRUE)</f>
        <v>Episode 13</v>
      </c>
    </row>
    <row r="16" spans="1:16" x14ac:dyDescent="0.25">
      <c r="A16" t="s">
        <v>54</v>
      </c>
      <c r="B16" s="1">
        <v>40687</v>
      </c>
      <c r="C16" t="s">
        <v>14</v>
      </c>
      <c r="D16" t="s">
        <v>55</v>
      </c>
      <c r="E16" t="s">
        <v>10</v>
      </c>
      <c r="F16" t="s">
        <v>56</v>
      </c>
      <c r="G16" t="s">
        <v>53</v>
      </c>
      <c r="H16" t="s">
        <v>12</v>
      </c>
      <c r="J16" t="str">
        <f>IF(ISNUMBER(SEARCH("Episode",A16:A619)),A16:A619,"")</f>
        <v>Episode 014 - Superman III &amp; IV Part Two</v>
      </c>
      <c r="M16" t="str">
        <f t="shared" si="0"/>
        <v>Superman III &amp; IV Part Two</v>
      </c>
      <c r="N16" s="2" t="s">
        <v>907</v>
      </c>
      <c r="O16" t="s">
        <v>1304</v>
      </c>
      <c r="P16" t="str">
        <f>VLOOKUP(J16,A15:K617,6,TRUE)</f>
        <v>Episode 14</v>
      </c>
    </row>
    <row r="17" spans="1:16" x14ac:dyDescent="0.25">
      <c r="A17" t="s">
        <v>57</v>
      </c>
      <c r="B17" s="1">
        <v>40701</v>
      </c>
      <c r="C17" t="s">
        <v>14</v>
      </c>
      <c r="D17" t="s">
        <v>58</v>
      </c>
      <c r="E17" t="s">
        <v>10</v>
      </c>
      <c r="F17" t="s">
        <v>59</v>
      </c>
      <c r="G17" t="s">
        <v>53</v>
      </c>
      <c r="H17" t="s">
        <v>12</v>
      </c>
      <c r="J17" t="str">
        <f>IF(ISNUMBER(SEARCH("Episode",A17:A620)),A17:A620,"")</f>
        <v>Episode 015 - Boys and Girls</v>
      </c>
      <c r="M17" t="str">
        <f t="shared" si="0"/>
        <v>Boys and Girls</v>
      </c>
      <c r="N17" s="2" t="s">
        <v>908</v>
      </c>
      <c r="O17" t="s">
        <v>1305</v>
      </c>
      <c r="P17" t="str">
        <f>VLOOKUP(J17,A16:K618,6,TRUE)</f>
        <v>Episode 15</v>
      </c>
    </row>
    <row r="18" spans="1:16" x14ac:dyDescent="0.25">
      <c r="A18" t="s">
        <v>60</v>
      </c>
      <c r="B18" s="1">
        <v>40708</v>
      </c>
      <c r="C18" t="s">
        <v>14</v>
      </c>
      <c r="D18" t="s">
        <v>61</v>
      </c>
      <c r="E18" t="s">
        <v>10</v>
      </c>
      <c r="H18" t="s">
        <v>62</v>
      </c>
      <c r="J18" t="str">
        <f>IF(ISNUMBER(SEARCH("Episode",A18:A621)),A18:A621,"")</f>
        <v/>
      </c>
      <c r="M18" t="str">
        <f t="shared" si="0"/>
        <v/>
      </c>
      <c r="N18" s="2" t="s">
        <v>909</v>
      </c>
      <c r="O18" t="s">
        <v>1306</v>
      </c>
      <c r="P18" t="e">
        <f>VLOOKUP(J18,A17:K619,6,TRUE)</f>
        <v>#N/A</v>
      </c>
    </row>
    <row r="19" spans="1:16" x14ac:dyDescent="0.25">
      <c r="A19" t="s">
        <v>63</v>
      </c>
      <c r="B19" s="1">
        <v>40715</v>
      </c>
      <c r="C19" t="s">
        <v>14</v>
      </c>
      <c r="D19" t="s">
        <v>64</v>
      </c>
      <c r="E19" t="s">
        <v>10</v>
      </c>
      <c r="F19" t="s">
        <v>65</v>
      </c>
      <c r="G19" t="s">
        <v>53</v>
      </c>
      <c r="H19" t="s">
        <v>12</v>
      </c>
      <c r="J19" t="str">
        <f>IF(ISNUMBER(SEARCH("Episode",A19:A622)),A19:A622,"")</f>
        <v>Episode 016 - Fuzz</v>
      </c>
      <c r="M19" t="str">
        <f t="shared" si="0"/>
        <v>Fuzz</v>
      </c>
      <c r="N19" s="2" t="s">
        <v>910</v>
      </c>
      <c r="O19" t="s">
        <v>1307</v>
      </c>
      <c r="P19">
        <f>VLOOKUP(J19,A18:K620,6,TRUE)</f>
        <v>0</v>
      </c>
    </row>
    <row r="20" spans="1:16" x14ac:dyDescent="0.25">
      <c r="A20" t="s">
        <v>66</v>
      </c>
      <c r="B20" s="1">
        <v>40729</v>
      </c>
      <c r="C20" t="s">
        <v>14</v>
      </c>
      <c r="D20" t="s">
        <v>67</v>
      </c>
      <c r="E20" t="s">
        <v>10</v>
      </c>
      <c r="F20" t="s">
        <v>68</v>
      </c>
      <c r="G20" t="s">
        <v>53</v>
      </c>
      <c r="H20" t="s">
        <v>12</v>
      </c>
      <c r="J20" t="str">
        <f>IF(ISNUMBER(SEARCH("Episode",A20:A623)),A20:A623,"")</f>
        <v>Episode 017 - Deep Impact</v>
      </c>
      <c r="M20" t="str">
        <f t="shared" si="0"/>
        <v>Deep Impact</v>
      </c>
      <c r="N20" s="2" t="s">
        <v>911</v>
      </c>
      <c r="O20" t="s">
        <v>1308</v>
      </c>
      <c r="P20" t="str">
        <f>VLOOKUP(J20,A19:K621,6,TRUE)</f>
        <v>Episode 17</v>
      </c>
    </row>
    <row r="21" spans="1:16" x14ac:dyDescent="0.25">
      <c r="A21" t="s">
        <v>69</v>
      </c>
      <c r="B21" s="1">
        <v>40743</v>
      </c>
      <c r="C21" t="s">
        <v>14</v>
      </c>
      <c r="D21" t="s">
        <v>70</v>
      </c>
      <c r="E21" t="s">
        <v>10</v>
      </c>
      <c r="F21" t="s">
        <v>71</v>
      </c>
      <c r="G21" t="s">
        <v>53</v>
      </c>
      <c r="H21" t="s">
        <v>12</v>
      </c>
      <c r="J21" t="str">
        <f>IF(ISNUMBER(SEARCH("Episode",A21:A624)),A21:A624,"")</f>
        <v>Episode 018 - Captain America (1990)</v>
      </c>
      <c r="M21" t="str">
        <f t="shared" si="0"/>
        <v>Captain America (1990)</v>
      </c>
      <c r="N21" s="2" t="s">
        <v>912</v>
      </c>
      <c r="O21" t="s">
        <v>1309</v>
      </c>
      <c r="P21" t="str">
        <f>VLOOKUP(J21,A20:K622,6,TRUE)</f>
        <v>Episode 18</v>
      </c>
    </row>
    <row r="22" spans="1:16" x14ac:dyDescent="0.25">
      <c r="A22" t="s">
        <v>72</v>
      </c>
      <c r="B22" s="1">
        <v>40757</v>
      </c>
      <c r="C22" t="s">
        <v>14</v>
      </c>
      <c r="D22" t="s">
        <v>73</v>
      </c>
      <c r="E22" t="s">
        <v>10</v>
      </c>
      <c r="F22" t="s">
        <v>74</v>
      </c>
      <c r="G22" t="s">
        <v>53</v>
      </c>
      <c r="H22" t="s">
        <v>12</v>
      </c>
      <c r="J22" t="str">
        <f>IF(ISNUMBER(SEARCH("Episode",A22:A625)),A22:A625,"")</f>
        <v>Episode 019 - The Best of the Worst of Summer 2011</v>
      </c>
      <c r="M22" t="str">
        <f t="shared" si="0"/>
        <v>The Best of the Worst of Summer 2011</v>
      </c>
      <c r="N22" s="2" t="s">
        <v>913</v>
      </c>
      <c r="O22" t="s">
        <v>1310</v>
      </c>
      <c r="P22" t="str">
        <f>VLOOKUP(J22,A21:K623,6,TRUE)</f>
        <v>Episode 19</v>
      </c>
    </row>
    <row r="23" spans="1:16" x14ac:dyDescent="0.25">
      <c r="A23" t="s">
        <v>75</v>
      </c>
      <c r="B23" s="1">
        <v>40764</v>
      </c>
      <c r="C23" t="s">
        <v>14</v>
      </c>
      <c r="D23" t="s">
        <v>76</v>
      </c>
      <c r="E23" t="s">
        <v>10</v>
      </c>
      <c r="H23" t="s">
        <v>62</v>
      </c>
      <c r="J23" t="str">
        <f>IF(ISNUMBER(SEARCH("Episode",A23:A626)),A23:A626,"")</f>
        <v/>
      </c>
      <c r="M23" t="str">
        <f t="shared" si="0"/>
        <v/>
      </c>
      <c r="N23" s="2" t="s">
        <v>914</v>
      </c>
      <c r="O23" t="s">
        <v>1311</v>
      </c>
      <c r="P23" t="e">
        <f>VLOOKUP(J23,A22:K624,6,TRUE)</f>
        <v>#N/A</v>
      </c>
    </row>
    <row r="24" spans="1:16" x14ac:dyDescent="0.25">
      <c r="A24" t="s">
        <v>77</v>
      </c>
      <c r="B24" s="1">
        <v>40771</v>
      </c>
      <c r="C24" t="s">
        <v>14</v>
      </c>
      <c r="D24" t="s">
        <v>78</v>
      </c>
      <c r="E24" t="s">
        <v>10</v>
      </c>
      <c r="F24" t="s">
        <v>79</v>
      </c>
      <c r="H24" t="s">
        <v>12</v>
      </c>
      <c r="J24" t="str">
        <f>IF(ISNUMBER(SEARCH("Episode",A24:A627)),A24:A627,"")</f>
        <v>Episode 020 - Deadlock</v>
      </c>
      <c r="M24" t="str">
        <f t="shared" si="0"/>
        <v>Deadlock</v>
      </c>
      <c r="N24" s="2" t="s">
        <v>915</v>
      </c>
      <c r="O24" t="s">
        <v>1312</v>
      </c>
      <c r="P24" t="str">
        <f>VLOOKUP(J24,A23:K625,6,TRUE)</f>
        <v>Episode 20</v>
      </c>
    </row>
    <row r="25" spans="1:16" x14ac:dyDescent="0.25">
      <c r="A25" t="s">
        <v>80</v>
      </c>
      <c r="B25" s="1">
        <v>40774</v>
      </c>
      <c r="C25" t="s">
        <v>14</v>
      </c>
      <c r="D25" t="s">
        <v>81</v>
      </c>
      <c r="E25" t="s">
        <v>10</v>
      </c>
      <c r="H25" t="s">
        <v>82</v>
      </c>
      <c r="J25" t="str">
        <f>IF(ISNUMBER(SEARCH("Episode",A25:A628)),A25:A628,"")</f>
        <v/>
      </c>
      <c r="M25" t="str">
        <f t="shared" si="0"/>
        <v/>
      </c>
      <c r="N25" s="2" t="s">
        <v>916</v>
      </c>
      <c r="O25" t="s">
        <v>1313</v>
      </c>
      <c r="P25" t="e">
        <f>VLOOKUP(J25,A24:K626,6,TRUE)</f>
        <v>#N/A</v>
      </c>
    </row>
    <row r="26" spans="1:16" x14ac:dyDescent="0.25">
      <c r="A26" t="s">
        <v>83</v>
      </c>
      <c r="B26" s="1">
        <v>40785</v>
      </c>
      <c r="C26" t="s">
        <v>14</v>
      </c>
      <c r="D26" t="s">
        <v>84</v>
      </c>
      <c r="E26" t="s">
        <v>10</v>
      </c>
      <c r="F26" t="s">
        <v>85</v>
      </c>
      <c r="H26" t="s">
        <v>12</v>
      </c>
      <c r="J26" t="str">
        <f>IF(ISNUMBER(SEARCH("Episode",A26:A629)),A26:A629,"")</f>
        <v>Episode 021 - The Principal</v>
      </c>
      <c r="M26" t="str">
        <f t="shared" si="0"/>
        <v>The Principal</v>
      </c>
      <c r="N26" s="2" t="s">
        <v>917</v>
      </c>
      <c r="O26" t="s">
        <v>1314</v>
      </c>
      <c r="P26">
        <f>VLOOKUP(J26,A25:K627,6,TRUE)</f>
        <v>0</v>
      </c>
    </row>
    <row r="27" spans="1:16" x14ac:dyDescent="0.25">
      <c r="A27" t="s">
        <v>86</v>
      </c>
      <c r="B27" s="1">
        <v>40792</v>
      </c>
      <c r="C27" t="s">
        <v>14</v>
      </c>
      <c r="D27" t="s">
        <v>87</v>
      </c>
      <c r="E27" t="s">
        <v>88</v>
      </c>
      <c r="F27" t="s">
        <v>11</v>
      </c>
      <c r="H27" t="s">
        <v>12</v>
      </c>
      <c r="J27" t="str">
        <f>IF(ISNUMBER(SEARCH("Episode",A27:A630)),A27:A630,"")</f>
        <v>Episode 022 - 18 Again!</v>
      </c>
      <c r="M27" t="str">
        <f t="shared" si="0"/>
        <v>18 Again!</v>
      </c>
      <c r="N27" s="2" t="s">
        <v>918</v>
      </c>
      <c r="O27" t="s">
        <v>1315</v>
      </c>
      <c r="P27">
        <f>VLOOKUP(J27,A26:K628,6,TRUE)</f>
        <v>0</v>
      </c>
    </row>
    <row r="28" spans="1:16" x14ac:dyDescent="0.25">
      <c r="A28" t="s">
        <v>89</v>
      </c>
      <c r="B28" s="1">
        <v>40795</v>
      </c>
      <c r="C28" t="s">
        <v>14</v>
      </c>
      <c r="D28" t="s">
        <v>90</v>
      </c>
      <c r="E28" t="s">
        <v>88</v>
      </c>
      <c r="H28" t="s">
        <v>91</v>
      </c>
      <c r="J28" t="str">
        <f>IF(ISNUMBER(SEARCH("Episode",A28:A631)),A28:A631,"")</f>
        <v/>
      </c>
      <c r="M28" t="str">
        <f t="shared" si="0"/>
        <v/>
      </c>
      <c r="N28" s="2" t="s">
        <v>919</v>
      </c>
      <c r="O28" t="s">
        <v>1316</v>
      </c>
      <c r="P28" t="e">
        <f>VLOOKUP(J28,A27:K629,6,TRUE)</f>
        <v>#N/A</v>
      </c>
    </row>
    <row r="29" spans="1:16" x14ac:dyDescent="0.25">
      <c r="A29" t="s">
        <v>92</v>
      </c>
      <c r="B29" s="1">
        <v>40799</v>
      </c>
      <c r="C29" t="s">
        <v>14</v>
      </c>
      <c r="D29" t="s">
        <v>93</v>
      </c>
      <c r="E29" t="s">
        <v>88</v>
      </c>
      <c r="F29" t="s">
        <v>16</v>
      </c>
      <c r="H29" t="s">
        <v>12</v>
      </c>
      <c r="J29" t="str">
        <f>IF(ISNUMBER(SEARCH("Episode",A29:A632)),A29:A632,"")</f>
        <v>Episode 023 - A Shock to the System</v>
      </c>
      <c r="M29" t="str">
        <f t="shared" si="0"/>
        <v>A Shock to the System</v>
      </c>
      <c r="N29" s="2" t="s">
        <v>920</v>
      </c>
      <c r="O29" t="s">
        <v>1317</v>
      </c>
      <c r="P29" t="str">
        <f>VLOOKUP(J29,A28:K630,6,TRUE)</f>
        <v>Episode 2</v>
      </c>
    </row>
    <row r="30" spans="1:16" x14ac:dyDescent="0.25">
      <c r="A30" t="s">
        <v>94</v>
      </c>
      <c r="B30" s="1">
        <v>40806</v>
      </c>
      <c r="C30" t="s">
        <v>14</v>
      </c>
      <c r="D30" t="s">
        <v>95</v>
      </c>
      <c r="E30" t="s">
        <v>88</v>
      </c>
      <c r="F30" t="s">
        <v>19</v>
      </c>
      <c r="H30" t="s">
        <v>12</v>
      </c>
      <c r="J30" t="str">
        <f>IF(ISNUMBER(SEARCH("Episode",A30:A633)),A30:A633,"")</f>
        <v>Episode 024 - The Ewok Adventure</v>
      </c>
      <c r="M30" t="str">
        <f t="shared" si="0"/>
        <v>The Ewok Adventure</v>
      </c>
      <c r="N30" s="2" t="s">
        <v>921</v>
      </c>
      <c r="O30" t="s">
        <v>1318</v>
      </c>
      <c r="P30" t="str">
        <f>VLOOKUP(J30,A29:K631,6,TRUE)</f>
        <v>Episode 3</v>
      </c>
    </row>
    <row r="31" spans="1:16" x14ac:dyDescent="0.25">
      <c r="A31" t="s">
        <v>96</v>
      </c>
      <c r="B31" s="1">
        <v>40813</v>
      </c>
      <c r="C31" t="s">
        <v>14</v>
      </c>
      <c r="D31" t="s">
        <v>97</v>
      </c>
      <c r="E31" t="s">
        <v>88</v>
      </c>
      <c r="F31" t="s">
        <v>22</v>
      </c>
      <c r="H31" t="s">
        <v>12</v>
      </c>
      <c r="J31" t="str">
        <f>IF(ISNUMBER(SEARCH("Episode",A31:A634)),A31:A634,"")</f>
        <v>Episode 025 - I Come in Peace</v>
      </c>
      <c r="M31" t="str">
        <f t="shared" si="0"/>
        <v>I Come in Peace</v>
      </c>
      <c r="N31" s="2" t="s">
        <v>922</v>
      </c>
      <c r="O31" t="s">
        <v>1319</v>
      </c>
      <c r="P31" t="str">
        <f>VLOOKUP(J31,A30:K632,6,TRUE)</f>
        <v>Episode 4</v>
      </c>
    </row>
    <row r="32" spans="1:16" x14ac:dyDescent="0.25">
      <c r="A32" t="s">
        <v>98</v>
      </c>
      <c r="B32" s="1">
        <v>40820</v>
      </c>
      <c r="C32" t="s">
        <v>14</v>
      </c>
      <c r="D32" t="s">
        <v>99</v>
      </c>
      <c r="E32" t="s">
        <v>88</v>
      </c>
      <c r="F32" t="s">
        <v>25</v>
      </c>
      <c r="G32" t="s">
        <v>100</v>
      </c>
      <c r="H32" t="s">
        <v>12</v>
      </c>
      <c r="J32" t="str">
        <f>IF(ISNUMBER(SEARCH("Episode",A32:A635)),A32:A635,"")</f>
        <v>Episode 026 - Visiting Hours</v>
      </c>
      <c r="M32" t="str">
        <f t="shared" si="0"/>
        <v>Visiting Hours</v>
      </c>
      <c r="N32" s="2" t="s">
        <v>923</v>
      </c>
      <c r="O32" t="s">
        <v>1320</v>
      </c>
      <c r="P32" t="str">
        <f>VLOOKUP(J32,A31:K633,6,TRUE)</f>
        <v>Episode 5</v>
      </c>
    </row>
    <row r="33" spans="1:16" x14ac:dyDescent="0.25">
      <c r="A33" t="s">
        <v>101</v>
      </c>
      <c r="B33" s="1">
        <v>40827</v>
      </c>
      <c r="C33" t="s">
        <v>14</v>
      </c>
      <c r="D33" t="s">
        <v>102</v>
      </c>
      <c r="E33" t="s">
        <v>88</v>
      </c>
      <c r="F33" t="s">
        <v>28</v>
      </c>
      <c r="G33" t="s">
        <v>100</v>
      </c>
      <c r="H33" t="s">
        <v>12</v>
      </c>
      <c r="J33" t="str">
        <f>IF(ISNUMBER(SEARCH("Episode",A33:A636)),A33:A636,"")</f>
        <v>Episode 027 - Wolf</v>
      </c>
      <c r="M33" t="str">
        <f t="shared" si="0"/>
        <v>Wolf</v>
      </c>
      <c r="N33" s="2" t="s">
        <v>924</v>
      </c>
      <c r="O33" t="s">
        <v>1321</v>
      </c>
      <c r="P33" t="str">
        <f>VLOOKUP(J33,A32:K634,6,TRUE)</f>
        <v>Episode 6</v>
      </c>
    </row>
    <row r="34" spans="1:16" x14ac:dyDescent="0.25">
      <c r="A34" t="s">
        <v>103</v>
      </c>
      <c r="B34" s="1">
        <v>40834</v>
      </c>
      <c r="C34" t="s">
        <v>14</v>
      </c>
      <c r="D34" t="s">
        <v>104</v>
      </c>
      <c r="E34" t="s">
        <v>88</v>
      </c>
      <c r="F34" t="s">
        <v>31</v>
      </c>
      <c r="G34" t="s">
        <v>100</v>
      </c>
      <c r="H34" t="s">
        <v>12</v>
      </c>
      <c r="J34" t="str">
        <f>IF(ISNUMBER(SEARCH("Episode",A34:A637)),A34:A637,"")</f>
        <v>Episode 028 - 976-EVIL</v>
      </c>
      <c r="M34" t="str">
        <f t="shared" si="0"/>
        <v>976-EVIL</v>
      </c>
      <c r="N34" s="2" t="s">
        <v>925</v>
      </c>
      <c r="O34" t="s">
        <v>1322</v>
      </c>
      <c r="P34">
        <f>VLOOKUP(J34,A33:K635,6,TRUE)</f>
        <v>0</v>
      </c>
    </row>
    <row r="35" spans="1:16" x14ac:dyDescent="0.25">
      <c r="A35" t="s">
        <v>105</v>
      </c>
      <c r="B35" s="1">
        <v>40839</v>
      </c>
      <c r="C35" t="s">
        <v>14</v>
      </c>
      <c r="D35" t="s">
        <v>106</v>
      </c>
      <c r="E35" t="s">
        <v>88</v>
      </c>
      <c r="H35" t="s">
        <v>91</v>
      </c>
      <c r="J35" t="str">
        <f>IF(ISNUMBER(SEARCH("Episode",A35:A638)),A35:A638,"")</f>
        <v/>
      </c>
      <c r="M35" t="str">
        <f t="shared" si="0"/>
        <v/>
      </c>
      <c r="N35" s="2" t="s">
        <v>926</v>
      </c>
      <c r="O35" t="s">
        <v>1323</v>
      </c>
      <c r="P35" t="e">
        <f>VLOOKUP(J35,A34:K636,6,TRUE)</f>
        <v>#N/A</v>
      </c>
    </row>
    <row r="36" spans="1:16" x14ac:dyDescent="0.25">
      <c r="A36" t="s">
        <v>107</v>
      </c>
      <c r="B36" s="1">
        <v>40841</v>
      </c>
      <c r="C36" t="s">
        <v>108</v>
      </c>
      <c r="D36" s="1">
        <v>42607</v>
      </c>
      <c r="E36" t="s">
        <v>88</v>
      </c>
      <c r="F36" t="s">
        <v>37</v>
      </c>
      <c r="G36" t="s">
        <v>109</v>
      </c>
      <c r="H36" t="s">
        <v>12</v>
      </c>
      <c r="J36" t="str">
        <f>IF(ISNUMBER(SEARCH("Episode",A36:A639)),A36:A639,"")</f>
        <v>Episode 029 - The Haunting</v>
      </c>
      <c r="M36" t="str">
        <f t="shared" si="0"/>
        <v>The Haunting</v>
      </c>
      <c r="N36" s="2" t="s">
        <v>927</v>
      </c>
      <c r="O36" t="s">
        <v>1324</v>
      </c>
      <c r="P36" t="str">
        <f>VLOOKUP(J36,A35:K637,6,TRUE)</f>
        <v>Episode 8</v>
      </c>
    </row>
    <row r="37" spans="1:16" x14ac:dyDescent="0.25">
      <c r="A37" t="s">
        <v>110</v>
      </c>
      <c r="B37" s="1">
        <v>40848</v>
      </c>
      <c r="C37" t="s">
        <v>14</v>
      </c>
      <c r="D37" t="s">
        <v>111</v>
      </c>
      <c r="E37" t="s">
        <v>88</v>
      </c>
      <c r="F37" t="s">
        <v>40</v>
      </c>
      <c r="H37" t="s">
        <v>12</v>
      </c>
      <c r="J37" t="str">
        <f>IF(ISNUMBER(SEARCH("Episode",A37:A640)),A37:A640,"")</f>
        <v>Episode 030 - Babycakes</v>
      </c>
      <c r="M37" t="str">
        <f t="shared" si="0"/>
        <v>Babycakes</v>
      </c>
      <c r="N37" s="2" t="s">
        <v>928</v>
      </c>
      <c r="O37" t="s">
        <v>1325</v>
      </c>
      <c r="P37" t="str">
        <f>VLOOKUP(J37,A36:K638,6,TRUE)</f>
        <v>Episode 9</v>
      </c>
    </row>
    <row r="38" spans="1:16" x14ac:dyDescent="0.25">
      <c r="A38" t="s">
        <v>112</v>
      </c>
      <c r="B38" s="1">
        <v>40855</v>
      </c>
      <c r="C38" t="s">
        <v>108</v>
      </c>
      <c r="D38" s="1">
        <v>42234</v>
      </c>
      <c r="E38" t="s">
        <v>88</v>
      </c>
      <c r="F38" t="s">
        <v>43</v>
      </c>
      <c r="G38" t="s">
        <v>113</v>
      </c>
      <c r="H38" t="s">
        <v>12</v>
      </c>
      <c r="J38" t="str">
        <f>IF(ISNUMBER(SEARCH("Episode",A38:A641)),A38:A641,"")</f>
        <v>Episode 031 - Judge Dredd</v>
      </c>
      <c r="M38" t="str">
        <f t="shared" si="0"/>
        <v>Judge Dredd</v>
      </c>
      <c r="N38" s="2" t="s">
        <v>929</v>
      </c>
      <c r="O38" t="s">
        <v>1326</v>
      </c>
      <c r="P38">
        <f>VLOOKUP(J38,A37:K639,6,TRUE)</f>
        <v>0</v>
      </c>
    </row>
    <row r="39" spans="1:16" x14ac:dyDescent="0.25">
      <c r="A39" t="s">
        <v>114</v>
      </c>
      <c r="B39" s="1">
        <v>40862</v>
      </c>
      <c r="C39" t="s">
        <v>14</v>
      </c>
      <c r="D39" t="s">
        <v>115</v>
      </c>
      <c r="E39" t="s">
        <v>88</v>
      </c>
      <c r="F39" t="s">
        <v>46</v>
      </c>
      <c r="H39" t="s">
        <v>12</v>
      </c>
      <c r="J39" t="str">
        <f>IF(ISNUMBER(SEARCH("Episode",A39:A642)),A39:A642,"")</f>
        <v>Episode 032 - No Retreat, No Surrender</v>
      </c>
      <c r="M39" t="str">
        <f t="shared" si="0"/>
        <v>No Retreat, No Surrender</v>
      </c>
      <c r="N39" s="2" t="s">
        <v>930</v>
      </c>
      <c r="O39" t="s">
        <v>1327</v>
      </c>
      <c r="P39">
        <f>VLOOKUP(J39,A38:K640,6,TRUE)</f>
        <v>0</v>
      </c>
    </row>
    <row r="40" spans="1:16" x14ac:dyDescent="0.25">
      <c r="A40" t="s">
        <v>116</v>
      </c>
      <c r="B40" s="1">
        <v>40869</v>
      </c>
      <c r="C40" t="s">
        <v>108</v>
      </c>
      <c r="D40" s="1">
        <v>41884</v>
      </c>
      <c r="E40" t="s">
        <v>88</v>
      </c>
      <c r="F40" t="s">
        <v>49</v>
      </c>
      <c r="G40" t="s">
        <v>117</v>
      </c>
      <c r="H40" t="s">
        <v>12</v>
      </c>
      <c r="J40" t="str">
        <f>IF(ISNUMBER(SEARCH("Episode",A40:A643)),A40:A643,"")</f>
        <v>Episode 033 - Ewoks: The Battle for Endor</v>
      </c>
      <c r="M40" t="str">
        <f t="shared" si="0"/>
        <v>Ewoks: The Battle for Endor</v>
      </c>
      <c r="N40" s="2" t="s">
        <v>931</v>
      </c>
      <c r="O40" t="s">
        <v>1328</v>
      </c>
      <c r="P40" t="str">
        <f>VLOOKUP(J40,A39:K641,6,TRUE)</f>
        <v>Episode 12</v>
      </c>
    </row>
    <row r="41" spans="1:16" x14ac:dyDescent="0.25">
      <c r="A41" t="s">
        <v>118</v>
      </c>
      <c r="B41" s="1">
        <v>40876</v>
      </c>
      <c r="C41" t="s">
        <v>14</v>
      </c>
      <c r="D41" t="s">
        <v>119</v>
      </c>
      <c r="E41" t="s">
        <v>88</v>
      </c>
      <c r="F41" t="s">
        <v>52</v>
      </c>
      <c r="H41" t="s">
        <v>12</v>
      </c>
      <c r="J41" t="str">
        <f>IF(ISNUMBER(SEARCH("Episode",A41:A644)),A41:A644,"")</f>
        <v>Episode 034 - Poison Ivy</v>
      </c>
      <c r="M41" t="str">
        <f t="shared" si="0"/>
        <v>Poison Ivy</v>
      </c>
      <c r="N41" s="2" t="s">
        <v>932</v>
      </c>
      <c r="O41" t="s">
        <v>1329</v>
      </c>
      <c r="P41" t="str">
        <f>VLOOKUP(J41,A40:K642,6,TRUE)</f>
        <v>Episode 13</v>
      </c>
    </row>
    <row r="42" spans="1:16" x14ac:dyDescent="0.25">
      <c r="A42" t="s">
        <v>120</v>
      </c>
      <c r="B42" s="1">
        <v>40883</v>
      </c>
      <c r="C42" t="s">
        <v>14</v>
      </c>
      <c r="D42" t="s">
        <v>121</v>
      </c>
      <c r="E42" t="s">
        <v>88</v>
      </c>
      <c r="F42" t="s">
        <v>56</v>
      </c>
      <c r="H42" t="s">
        <v>12</v>
      </c>
      <c r="J42" t="str">
        <f>IF(ISNUMBER(SEARCH("Episode",A42:A645)),A42:A645,"")</f>
        <v>Episode 035 - Wired: The Return</v>
      </c>
      <c r="M42" t="str">
        <f t="shared" si="0"/>
        <v>Wired: The Return</v>
      </c>
      <c r="N42" s="2" t="s">
        <v>933</v>
      </c>
      <c r="O42" t="s">
        <v>1330</v>
      </c>
      <c r="P42" t="str">
        <f>VLOOKUP(J42,A41:K643,6,TRUE)</f>
        <v>Episode 14</v>
      </c>
    </row>
    <row r="43" spans="1:16" x14ac:dyDescent="0.25">
      <c r="A43" t="s">
        <v>122</v>
      </c>
      <c r="B43" s="1">
        <v>40890</v>
      </c>
      <c r="C43" t="s">
        <v>14</v>
      </c>
      <c r="D43" t="s">
        <v>123</v>
      </c>
      <c r="E43" t="s">
        <v>88</v>
      </c>
      <c r="F43" t="s">
        <v>59</v>
      </c>
      <c r="H43" t="s">
        <v>12</v>
      </c>
      <c r="J43" t="str">
        <f>IF(ISNUMBER(SEARCH("Episode",A43:A646)),A43:A646,"")</f>
        <v>Episode 036 - The Conqueror</v>
      </c>
      <c r="M43" t="str">
        <f t="shared" si="0"/>
        <v>The Conqueror</v>
      </c>
      <c r="N43" s="2" t="s">
        <v>934</v>
      </c>
      <c r="O43" t="s">
        <v>1331</v>
      </c>
      <c r="P43" t="str">
        <f>VLOOKUP(J43,A42:K644,6,TRUE)</f>
        <v>Episode 15</v>
      </c>
    </row>
    <row r="44" spans="1:16" x14ac:dyDescent="0.25">
      <c r="A44" t="s">
        <v>124</v>
      </c>
      <c r="B44" s="1">
        <v>40897</v>
      </c>
      <c r="C44" t="s">
        <v>14</v>
      </c>
      <c r="D44" t="s">
        <v>125</v>
      </c>
      <c r="E44" t="s">
        <v>88</v>
      </c>
      <c r="F44" t="s">
        <v>65</v>
      </c>
      <c r="H44" t="s">
        <v>12</v>
      </c>
      <c r="J44" t="str">
        <f>IF(ISNUMBER(SEARCH("Episode",A44:A647)),A44:A647,"")</f>
        <v>Episode 037 - Jack Frost (1998)</v>
      </c>
      <c r="M44" t="str">
        <f t="shared" si="0"/>
        <v>Jack Frost (1998)</v>
      </c>
      <c r="N44" s="2" t="s">
        <v>935</v>
      </c>
      <c r="O44" t="s">
        <v>1332</v>
      </c>
      <c r="P44" t="str">
        <f>VLOOKUP(J44,A43:K645,6,TRUE)</f>
        <v>Episode 16</v>
      </c>
    </row>
    <row r="45" spans="1:16" x14ac:dyDescent="0.25">
      <c r="A45" t="s">
        <v>126</v>
      </c>
      <c r="B45" s="1">
        <v>40899</v>
      </c>
      <c r="C45" t="s">
        <v>14</v>
      </c>
      <c r="D45" t="s">
        <v>127</v>
      </c>
      <c r="E45" t="s">
        <v>88</v>
      </c>
      <c r="H45" t="s">
        <v>62</v>
      </c>
      <c r="J45" t="str">
        <f>IF(ISNUMBER(SEARCH("Episode",A45:A648)),A45:A648,"")</f>
        <v/>
      </c>
      <c r="M45" t="str">
        <f t="shared" si="0"/>
        <v/>
      </c>
      <c r="N45" s="2" t="s">
        <v>936</v>
      </c>
      <c r="O45" t="s">
        <v>1333</v>
      </c>
      <c r="P45" t="e">
        <f>VLOOKUP(J45,A44:K646,6,TRUE)</f>
        <v>#N/A</v>
      </c>
    </row>
    <row r="46" spans="1:16" x14ac:dyDescent="0.25">
      <c r="A46" t="s">
        <v>128</v>
      </c>
      <c r="B46" s="1">
        <v>40904</v>
      </c>
      <c r="C46" t="s">
        <v>14</v>
      </c>
      <c r="D46" t="s">
        <v>129</v>
      </c>
      <c r="E46" t="s">
        <v>88</v>
      </c>
      <c r="F46" t="s">
        <v>68</v>
      </c>
      <c r="H46" t="s">
        <v>12</v>
      </c>
      <c r="J46" t="str">
        <f>IF(ISNUMBER(SEARCH("Episode",A46:A649)),A46:A649,"")</f>
        <v>Episode 038 - Money Train</v>
      </c>
      <c r="M46" t="str">
        <f t="shared" si="0"/>
        <v>Money Train</v>
      </c>
      <c r="N46" s="2" t="s">
        <v>937</v>
      </c>
      <c r="O46" t="s">
        <v>1334</v>
      </c>
      <c r="P46" t="str">
        <f>VLOOKUP(J46,A45:K647,6,TRUE)</f>
        <v>Episode 17</v>
      </c>
    </row>
    <row r="47" spans="1:16" x14ac:dyDescent="0.25">
      <c r="A47" t="s">
        <v>130</v>
      </c>
      <c r="B47" s="1">
        <v>40911</v>
      </c>
      <c r="C47" t="s">
        <v>14</v>
      </c>
      <c r="D47" t="s">
        <v>131</v>
      </c>
      <c r="E47" t="s">
        <v>88</v>
      </c>
      <c r="F47" t="s">
        <v>71</v>
      </c>
      <c r="G47" t="s">
        <v>132</v>
      </c>
      <c r="H47" t="s">
        <v>12</v>
      </c>
      <c r="J47" t="str">
        <f>IF(ISNUMBER(SEARCH("Episode",A47:A650)),A47:A650,"")</f>
        <v>Episode 039 - The Adventures of Ford Fairlane</v>
      </c>
      <c r="M47" t="str">
        <f t="shared" si="0"/>
        <v>The Adventures of Ford Fairlane</v>
      </c>
      <c r="N47" s="2" t="s">
        <v>938</v>
      </c>
      <c r="O47" t="s">
        <v>1335</v>
      </c>
      <c r="P47" t="str">
        <f>VLOOKUP(J47,A46:K648,6,TRUE)</f>
        <v>Episode 18</v>
      </c>
    </row>
    <row r="48" spans="1:16" x14ac:dyDescent="0.25">
      <c r="A48" t="s">
        <v>133</v>
      </c>
      <c r="B48" s="1">
        <v>40918</v>
      </c>
      <c r="C48" t="s">
        <v>14</v>
      </c>
      <c r="D48" t="s">
        <v>134</v>
      </c>
      <c r="E48" t="s">
        <v>88</v>
      </c>
      <c r="F48" t="s">
        <v>74</v>
      </c>
      <c r="G48" t="s">
        <v>132</v>
      </c>
      <c r="H48" t="s">
        <v>12</v>
      </c>
      <c r="J48" t="str">
        <f>IF(ISNUMBER(SEARCH("Episode",A48:A651)),A48:A651,"")</f>
        <v>Episode 040 - Hider in the House</v>
      </c>
      <c r="M48" t="str">
        <f t="shared" si="0"/>
        <v>Hider in the House</v>
      </c>
      <c r="N48" s="2" t="s">
        <v>939</v>
      </c>
      <c r="O48" t="s">
        <v>1336</v>
      </c>
      <c r="P48">
        <f>VLOOKUP(J48,A47:K649,6,TRUE)</f>
        <v>0</v>
      </c>
    </row>
    <row r="49" spans="1:16" x14ac:dyDescent="0.25">
      <c r="A49" t="s">
        <v>135</v>
      </c>
      <c r="B49" s="1">
        <v>40925</v>
      </c>
      <c r="C49" t="s">
        <v>108</v>
      </c>
      <c r="D49" s="1">
        <v>42600</v>
      </c>
      <c r="E49" t="s">
        <v>88</v>
      </c>
      <c r="F49" t="s">
        <v>79</v>
      </c>
      <c r="G49" t="s">
        <v>136</v>
      </c>
      <c r="H49" t="s">
        <v>12</v>
      </c>
      <c r="J49" t="str">
        <f>IF(ISNUMBER(SEARCH("Episode",A49:A652)),A49:A652,"")</f>
        <v>Episode 041 - Halloween III: Season of the Witch</v>
      </c>
      <c r="M49" t="str">
        <f t="shared" si="0"/>
        <v>Halloween III: Season of the Witch</v>
      </c>
      <c r="N49" s="2" t="s">
        <v>940</v>
      </c>
      <c r="O49" t="s">
        <v>1337</v>
      </c>
      <c r="P49">
        <f>VLOOKUP(J49,A48:K650,6,TRUE)</f>
        <v>0</v>
      </c>
    </row>
    <row r="50" spans="1:16" x14ac:dyDescent="0.25">
      <c r="A50" t="s">
        <v>137</v>
      </c>
      <c r="B50" s="1">
        <v>40927</v>
      </c>
      <c r="C50" t="s">
        <v>14</v>
      </c>
      <c r="D50" t="s">
        <v>138</v>
      </c>
      <c r="E50" t="s">
        <v>88</v>
      </c>
      <c r="H50" t="s">
        <v>91</v>
      </c>
      <c r="J50" t="str">
        <f>IF(ISNUMBER(SEARCH("Episode",A50:A653)),A50:A653,"")</f>
        <v/>
      </c>
      <c r="M50" t="str">
        <f t="shared" si="0"/>
        <v/>
      </c>
      <c r="N50" s="2" t="s">
        <v>941</v>
      </c>
      <c r="O50" t="s">
        <v>1338</v>
      </c>
      <c r="P50" t="e">
        <f>VLOOKUP(J50,A49:K651,6,TRUE)</f>
        <v>#N/A</v>
      </c>
    </row>
    <row r="51" spans="1:16" x14ac:dyDescent="0.25">
      <c r="A51" t="s">
        <v>139</v>
      </c>
      <c r="B51" s="1">
        <v>40932</v>
      </c>
      <c r="C51" t="s">
        <v>14</v>
      </c>
      <c r="D51" t="s">
        <v>140</v>
      </c>
      <c r="E51" t="s">
        <v>88</v>
      </c>
      <c r="F51" t="s">
        <v>85</v>
      </c>
      <c r="G51" t="s">
        <v>132</v>
      </c>
      <c r="H51" t="s">
        <v>12</v>
      </c>
      <c r="J51" t="str">
        <f>IF(ISNUMBER(SEARCH("Episode",A51:A654)),A51:A654,"")</f>
        <v>Episode 042 - Zandalee</v>
      </c>
      <c r="M51" t="str">
        <f t="shared" si="0"/>
        <v>Zandalee</v>
      </c>
      <c r="N51" s="2" t="s">
        <v>942</v>
      </c>
      <c r="O51" t="s">
        <v>1339</v>
      </c>
      <c r="P51" t="str">
        <f>VLOOKUP(J51,A50:K652,6,TRUE)</f>
        <v>Episode 21</v>
      </c>
    </row>
    <row r="52" spans="1:16" x14ac:dyDescent="0.25">
      <c r="A52" t="s">
        <v>141</v>
      </c>
      <c r="B52" s="1">
        <v>40939</v>
      </c>
      <c r="C52" t="s">
        <v>14</v>
      </c>
      <c r="D52" t="s">
        <v>142</v>
      </c>
      <c r="E52" t="s">
        <v>88</v>
      </c>
      <c r="F52" t="s">
        <v>143</v>
      </c>
      <c r="G52" t="s">
        <v>132</v>
      </c>
      <c r="H52" t="s">
        <v>12</v>
      </c>
      <c r="J52" t="str">
        <f>IF(ISNUMBER(SEARCH("Episode",A52:A655)),A52:A655,"")</f>
        <v>Episode 043 - Vampire in Brooklyn</v>
      </c>
      <c r="M52" t="str">
        <f t="shared" si="0"/>
        <v>Vampire in Brooklyn</v>
      </c>
      <c r="N52" s="2" t="s">
        <v>943</v>
      </c>
      <c r="O52" t="s">
        <v>1340</v>
      </c>
      <c r="P52" t="str">
        <f>VLOOKUP(J52,A51:K653,6,TRUE)</f>
        <v>Episode 22</v>
      </c>
    </row>
    <row r="53" spans="1:16" x14ac:dyDescent="0.25">
      <c r="A53" t="s">
        <v>144</v>
      </c>
      <c r="B53" s="1">
        <v>40946</v>
      </c>
      <c r="C53" t="s">
        <v>108</v>
      </c>
      <c r="D53" s="1">
        <v>42248</v>
      </c>
      <c r="E53" t="s">
        <v>88</v>
      </c>
      <c r="F53" t="s">
        <v>145</v>
      </c>
      <c r="G53" t="s">
        <v>113</v>
      </c>
      <c r="H53" t="s">
        <v>12</v>
      </c>
      <c r="J53" t="str">
        <f>IF(ISNUMBER(SEARCH("Episode",A53:A656)),A53:A656,"")</f>
        <v>Episode 044 - Star Wars Episode 1: The Phantom Menace</v>
      </c>
      <c r="M53" t="str">
        <f t="shared" si="0"/>
        <v>Star Wars Episode 1: The Phantom Menace</v>
      </c>
      <c r="N53" s="2" t="s">
        <v>944</v>
      </c>
      <c r="O53" t="s">
        <v>1341</v>
      </c>
      <c r="P53" t="str">
        <f>VLOOKUP(J53,A52:K654,6,TRUE)</f>
        <v>Episode 23</v>
      </c>
    </row>
    <row r="54" spans="1:16" x14ac:dyDescent="0.25">
      <c r="A54" t="s">
        <v>146</v>
      </c>
      <c r="B54" s="1">
        <v>40953</v>
      </c>
      <c r="C54" t="s">
        <v>14</v>
      </c>
      <c r="D54" t="s">
        <v>147</v>
      </c>
      <c r="E54" t="s">
        <v>88</v>
      </c>
      <c r="F54" t="s">
        <v>148</v>
      </c>
      <c r="H54" t="s">
        <v>12</v>
      </c>
      <c r="J54" t="str">
        <f>IF(ISNUMBER(SEARCH("Episode",A54:A657)),A54:A657,"")</f>
        <v>Episode 045 - Deadly Friend</v>
      </c>
      <c r="M54" t="str">
        <f t="shared" si="0"/>
        <v>Deadly Friend</v>
      </c>
      <c r="N54" s="2" t="s">
        <v>945</v>
      </c>
      <c r="O54" t="s">
        <v>1342</v>
      </c>
      <c r="P54">
        <f>VLOOKUP(J54,A53:K655,6,TRUE)</f>
        <v>0</v>
      </c>
    </row>
    <row r="55" spans="1:16" x14ac:dyDescent="0.25">
      <c r="A55" t="s">
        <v>149</v>
      </c>
      <c r="B55" s="1">
        <v>40960</v>
      </c>
      <c r="C55" t="s">
        <v>14</v>
      </c>
      <c r="D55" t="s">
        <v>150</v>
      </c>
      <c r="E55" t="s">
        <v>88</v>
      </c>
      <c r="F55" t="s">
        <v>151</v>
      </c>
      <c r="H55" t="s">
        <v>12</v>
      </c>
      <c r="J55" t="str">
        <f>IF(ISNUMBER(SEARCH("Episode",A55:A658)),A55:A658,"")</f>
        <v>Episode 046 - Nukie</v>
      </c>
      <c r="M55" t="str">
        <f t="shared" si="0"/>
        <v>Nukie</v>
      </c>
      <c r="N55" s="2" t="s">
        <v>946</v>
      </c>
      <c r="O55" t="s">
        <v>1343</v>
      </c>
      <c r="P55" t="str">
        <f>VLOOKUP(J55,A54:K656,6,TRUE)</f>
        <v>Episode 25</v>
      </c>
    </row>
    <row r="56" spans="1:16" x14ac:dyDescent="0.25">
      <c r="A56" t="s">
        <v>152</v>
      </c>
      <c r="B56" s="1">
        <v>40967</v>
      </c>
      <c r="C56" t="s">
        <v>14</v>
      </c>
      <c r="D56" t="s">
        <v>153</v>
      </c>
      <c r="E56" t="s">
        <v>88</v>
      </c>
      <c r="F56" t="s">
        <v>154</v>
      </c>
      <c r="H56" t="s">
        <v>12</v>
      </c>
      <c r="J56" t="str">
        <f>IF(ISNUMBER(SEARCH("Episode",A56:A659)),A56:A659,"")</f>
        <v>Episode 047 - Cop and a Half</v>
      </c>
      <c r="M56" t="str">
        <f t="shared" si="0"/>
        <v>Cop and a Half</v>
      </c>
      <c r="N56" s="2" t="s">
        <v>947</v>
      </c>
      <c r="O56" t="s">
        <v>1344</v>
      </c>
      <c r="P56">
        <f>VLOOKUP(J56,A55:K657,6,TRUE)</f>
        <v>0</v>
      </c>
    </row>
    <row r="57" spans="1:16" x14ac:dyDescent="0.25">
      <c r="A57" t="s">
        <v>155</v>
      </c>
      <c r="B57" s="1">
        <v>40974</v>
      </c>
      <c r="C57" t="s">
        <v>14</v>
      </c>
      <c r="D57" t="s">
        <v>156</v>
      </c>
      <c r="E57" t="s">
        <v>88</v>
      </c>
      <c r="F57" t="s">
        <v>157</v>
      </c>
      <c r="H57" t="s">
        <v>12</v>
      </c>
      <c r="J57" t="str">
        <f>IF(ISNUMBER(SEARCH("Episode",A57:A660)),A57:A660,"")</f>
        <v>Episode 048 - Off Beat</v>
      </c>
      <c r="M57" t="str">
        <f t="shared" si="0"/>
        <v>Off Beat</v>
      </c>
      <c r="N57" s="2" t="s">
        <v>948</v>
      </c>
      <c r="O57" t="s">
        <v>1345</v>
      </c>
      <c r="P57" t="str">
        <f>VLOOKUP(J57,A56:K658,6,TRUE)</f>
        <v>Episode 27</v>
      </c>
    </row>
    <row r="58" spans="1:16" x14ac:dyDescent="0.25">
      <c r="A58" t="s">
        <v>158</v>
      </c>
      <c r="B58" s="1">
        <v>40981</v>
      </c>
      <c r="C58" t="s">
        <v>14</v>
      </c>
      <c r="D58" t="s">
        <v>159</v>
      </c>
      <c r="E58" t="s">
        <v>88</v>
      </c>
      <c r="F58" t="s">
        <v>160</v>
      </c>
      <c r="H58" t="s">
        <v>12</v>
      </c>
      <c r="J58" t="str">
        <f>IF(ISNUMBER(SEARCH("Episode",A58:A661)),A58:A661,"")</f>
        <v>Episode 049 - Hackers</v>
      </c>
      <c r="M58" t="str">
        <f t="shared" si="0"/>
        <v>Hackers</v>
      </c>
      <c r="N58" s="2" t="s">
        <v>949</v>
      </c>
      <c r="O58" t="s">
        <v>1346</v>
      </c>
      <c r="P58" t="str">
        <f>VLOOKUP(J58,A57:K659,6,TRUE)</f>
        <v>Episode 28</v>
      </c>
    </row>
    <row r="59" spans="1:16" x14ac:dyDescent="0.25">
      <c r="A59" t="s">
        <v>161</v>
      </c>
      <c r="B59" s="1">
        <v>40988</v>
      </c>
      <c r="C59" t="s">
        <v>14</v>
      </c>
      <c r="D59" t="s">
        <v>162</v>
      </c>
      <c r="E59" t="s">
        <v>88</v>
      </c>
      <c r="F59" t="s">
        <v>163</v>
      </c>
      <c r="H59" t="s">
        <v>12</v>
      </c>
      <c r="J59" t="str">
        <f>IF(ISNUMBER(SEARCH("Episode",A59:A662)),A59:A662,"")</f>
        <v>Episode 050 - No Holds Barred</v>
      </c>
      <c r="M59" t="str">
        <f t="shared" si="0"/>
        <v>No Holds Barred</v>
      </c>
      <c r="N59" s="2" t="s">
        <v>950</v>
      </c>
      <c r="O59" t="s">
        <v>1347</v>
      </c>
      <c r="P59" t="str">
        <f>VLOOKUP(J59,A58:K660,6,TRUE)</f>
        <v>Episode 29</v>
      </c>
    </row>
    <row r="60" spans="1:16" x14ac:dyDescent="0.25">
      <c r="A60" t="s">
        <v>164</v>
      </c>
      <c r="B60" s="1">
        <v>40995</v>
      </c>
      <c r="C60" t="s">
        <v>14</v>
      </c>
      <c r="D60" t="s">
        <v>165</v>
      </c>
      <c r="E60" t="s">
        <v>88</v>
      </c>
      <c r="F60" t="s">
        <v>166</v>
      </c>
      <c r="H60" t="s">
        <v>12</v>
      </c>
      <c r="J60" t="str">
        <f>IF(ISNUMBER(SEARCH("Episode",A60:A663)),A60:A663,"")</f>
        <v>Episode 051 - Senseless</v>
      </c>
      <c r="M60" t="str">
        <f t="shared" si="0"/>
        <v>Senseless</v>
      </c>
      <c r="N60" s="2" t="s">
        <v>951</v>
      </c>
      <c r="O60" t="s">
        <v>1348</v>
      </c>
      <c r="P60">
        <f>VLOOKUP(J60,A59:K661,6,TRUE)</f>
        <v>0</v>
      </c>
    </row>
    <row r="61" spans="1:16" x14ac:dyDescent="0.25">
      <c r="A61" t="s">
        <v>167</v>
      </c>
      <c r="B61" s="1">
        <v>41002</v>
      </c>
      <c r="C61" t="s">
        <v>14</v>
      </c>
      <c r="D61" t="s">
        <v>168</v>
      </c>
      <c r="E61" t="s">
        <v>88</v>
      </c>
      <c r="F61" t="s">
        <v>169</v>
      </c>
      <c r="H61" t="s">
        <v>12</v>
      </c>
      <c r="J61" t="str">
        <f>IF(ISNUMBER(SEARCH("Episode",A61:A664)),A61:A664,"")</f>
        <v>Episode 052 - Mr. Destiny</v>
      </c>
      <c r="M61" t="str">
        <f t="shared" si="0"/>
        <v>Mr. Destiny</v>
      </c>
      <c r="N61" s="2" t="s">
        <v>952</v>
      </c>
      <c r="O61" t="s">
        <v>1349</v>
      </c>
      <c r="P61">
        <f>VLOOKUP(J61,A60:K662,6,TRUE)</f>
        <v>0</v>
      </c>
    </row>
    <row r="62" spans="1:16" x14ac:dyDescent="0.25">
      <c r="A62" t="s">
        <v>170</v>
      </c>
      <c r="B62" s="1">
        <v>41009</v>
      </c>
      <c r="C62" t="s">
        <v>14</v>
      </c>
      <c r="D62" t="s">
        <v>171</v>
      </c>
      <c r="E62" t="s">
        <v>88</v>
      </c>
      <c r="F62" t="s">
        <v>172</v>
      </c>
      <c r="H62" t="s">
        <v>12</v>
      </c>
      <c r="J62" t="str">
        <f>IF(ISNUMBER(SEARCH("Episode",A62:A665)),A62:A665,"")</f>
        <v>Episode 053 - Free Enterprise</v>
      </c>
      <c r="M62" t="str">
        <f t="shared" si="0"/>
        <v>Free Enterprise</v>
      </c>
      <c r="N62" s="2" t="s">
        <v>953</v>
      </c>
      <c r="O62" t="s">
        <v>1350</v>
      </c>
      <c r="P62" t="str">
        <f>VLOOKUP(J62,A61:K663,6,TRUE)</f>
        <v>Episode 32</v>
      </c>
    </row>
    <row r="63" spans="1:16" x14ac:dyDescent="0.25">
      <c r="A63" t="s">
        <v>173</v>
      </c>
      <c r="B63" s="1">
        <v>41016</v>
      </c>
      <c r="C63" t="s">
        <v>14</v>
      </c>
      <c r="D63" t="s">
        <v>174</v>
      </c>
      <c r="E63" t="s">
        <v>88</v>
      </c>
      <c r="F63" t="s">
        <v>175</v>
      </c>
      <c r="H63" t="s">
        <v>12</v>
      </c>
      <c r="J63" t="str">
        <f>IF(ISNUMBER(SEARCH("Episode",A63:A666)),A63:A666,"")</f>
        <v>Episode 054 - Gymkata</v>
      </c>
      <c r="M63" t="str">
        <f t="shared" si="0"/>
        <v>Gymkata</v>
      </c>
      <c r="N63" s="2" t="s">
        <v>954</v>
      </c>
      <c r="O63" t="s">
        <v>1351</v>
      </c>
      <c r="P63" t="str">
        <f>VLOOKUP(J63,A62:K664,6,TRUE)</f>
        <v>Episode 33</v>
      </c>
    </row>
    <row r="64" spans="1:16" x14ac:dyDescent="0.25">
      <c r="A64" t="s">
        <v>176</v>
      </c>
      <c r="B64" s="1">
        <v>41023</v>
      </c>
      <c r="C64" t="s">
        <v>108</v>
      </c>
      <c r="D64" s="1">
        <v>41877</v>
      </c>
      <c r="E64" t="s">
        <v>88</v>
      </c>
      <c r="F64" t="s">
        <v>177</v>
      </c>
      <c r="G64" t="s">
        <v>117</v>
      </c>
      <c r="H64" t="s">
        <v>12</v>
      </c>
      <c r="J64" t="str">
        <f>IF(ISNUMBER(SEARCH("Episode",A64:A667)),A64:A667,"")</f>
        <v>Episode 055 - Rocky IV</v>
      </c>
      <c r="M64" t="str">
        <f t="shared" si="0"/>
        <v>Rocky IV</v>
      </c>
      <c r="N64" s="2" t="s">
        <v>955</v>
      </c>
      <c r="O64" t="s">
        <v>1352</v>
      </c>
      <c r="P64" t="str">
        <f>VLOOKUP(J64,A63:K665,6,TRUE)</f>
        <v>Episode 34</v>
      </c>
    </row>
    <row r="65" spans="1:16" x14ac:dyDescent="0.25">
      <c r="A65" t="s">
        <v>178</v>
      </c>
      <c r="B65" s="1">
        <v>41030</v>
      </c>
      <c r="C65" t="s">
        <v>14</v>
      </c>
      <c r="D65" t="s">
        <v>179</v>
      </c>
      <c r="E65" t="s">
        <v>88</v>
      </c>
      <c r="F65" t="s">
        <v>180</v>
      </c>
      <c r="H65" t="s">
        <v>12</v>
      </c>
      <c r="J65" t="str">
        <f>IF(ISNUMBER(SEARCH("Episode",A65:A668)),A65:A668,"")</f>
        <v>Episode 056 - The Philadelphia Experiment II</v>
      </c>
      <c r="M65" t="str">
        <f t="shared" si="0"/>
        <v>The Philadelphia Experiment II</v>
      </c>
      <c r="N65" s="2" t="s">
        <v>956</v>
      </c>
      <c r="O65" t="s">
        <v>1353</v>
      </c>
      <c r="P65" t="str">
        <f>VLOOKUP(J65,A64:K666,6,TRUE)</f>
        <v>Episode 35</v>
      </c>
    </row>
    <row r="66" spans="1:16" x14ac:dyDescent="0.25">
      <c r="A66" t="s">
        <v>181</v>
      </c>
      <c r="B66" s="1">
        <v>41037</v>
      </c>
      <c r="C66" t="s">
        <v>14</v>
      </c>
      <c r="D66" t="s">
        <v>182</v>
      </c>
      <c r="E66" t="s">
        <v>88</v>
      </c>
      <c r="F66" t="s">
        <v>183</v>
      </c>
      <c r="H66" t="s">
        <v>12</v>
      </c>
      <c r="J66" t="str">
        <f>IF(ISNUMBER(SEARCH("Episode",A66:A669)),A66:A669,"")</f>
        <v>Episode 057 - The Glass House</v>
      </c>
      <c r="M66" t="str">
        <f t="shared" si="0"/>
        <v>The Glass House</v>
      </c>
      <c r="N66" s="2" t="s">
        <v>957</v>
      </c>
      <c r="O66" t="s">
        <v>1354</v>
      </c>
      <c r="P66" t="str">
        <f>VLOOKUP(J66,A65:K667,6,TRUE)</f>
        <v>Episode 36</v>
      </c>
    </row>
    <row r="67" spans="1:16" x14ac:dyDescent="0.25">
      <c r="A67" t="s">
        <v>184</v>
      </c>
      <c r="B67" s="1">
        <v>41044</v>
      </c>
      <c r="C67" t="s">
        <v>14</v>
      </c>
      <c r="D67" t="s">
        <v>185</v>
      </c>
      <c r="E67" t="s">
        <v>88</v>
      </c>
      <c r="F67" t="s">
        <v>186</v>
      </c>
      <c r="H67" t="s">
        <v>12</v>
      </c>
      <c r="J67" t="str">
        <f>IF(ISNUMBER(SEARCH("Episode",A67:A670)),A67:A670,"")</f>
        <v>Episode 058 - Undercover Blues</v>
      </c>
      <c r="M67" t="str">
        <f t="shared" ref="M67:M130" si="1">REPLACE(J67,1,14,"")</f>
        <v>Undercover Blues</v>
      </c>
      <c r="N67" s="2" t="s">
        <v>958</v>
      </c>
      <c r="O67" t="s">
        <v>1355</v>
      </c>
      <c r="P67">
        <f>VLOOKUP(J67,A66:K668,6,TRUE)</f>
        <v>0</v>
      </c>
    </row>
    <row r="68" spans="1:16" x14ac:dyDescent="0.25">
      <c r="A68" t="s">
        <v>187</v>
      </c>
      <c r="B68" s="1">
        <v>41051</v>
      </c>
      <c r="C68" t="s">
        <v>108</v>
      </c>
      <c r="D68" s="1">
        <v>42220</v>
      </c>
      <c r="E68" t="s">
        <v>88</v>
      </c>
      <c r="F68" t="s">
        <v>188</v>
      </c>
      <c r="G68" t="s">
        <v>113</v>
      </c>
      <c r="H68" t="s">
        <v>12</v>
      </c>
      <c r="J68" t="str">
        <f>IF(ISNUMBER(SEARCH("Episode",A68:A671)),A68:A671,"")</f>
        <v>Episode 059 - The New Adventures of Pippi Longstocking</v>
      </c>
      <c r="M68" t="str">
        <f t="shared" si="1"/>
        <v>The New Adventures of Pippi Longstocking</v>
      </c>
      <c r="N68" s="2" t="s">
        <v>959</v>
      </c>
      <c r="O68" t="s">
        <v>1356</v>
      </c>
      <c r="P68" t="str">
        <f>VLOOKUP(J68,A67:K669,6,TRUE)</f>
        <v>Episode 38</v>
      </c>
    </row>
    <row r="69" spans="1:16" x14ac:dyDescent="0.25">
      <c r="A69" t="s">
        <v>189</v>
      </c>
      <c r="B69" s="1">
        <v>41058</v>
      </c>
      <c r="C69" t="s">
        <v>14</v>
      </c>
      <c r="D69" t="s">
        <v>190</v>
      </c>
      <c r="E69" t="s">
        <v>88</v>
      </c>
      <c r="F69" t="s">
        <v>191</v>
      </c>
      <c r="H69" t="s">
        <v>12</v>
      </c>
      <c r="J69" t="str">
        <f>IF(ISNUMBER(SEARCH("Episode",A69:A672)),A69:A672,"")</f>
        <v>Episode 060 - The Skulls</v>
      </c>
      <c r="M69" t="str">
        <f t="shared" si="1"/>
        <v>The Skulls</v>
      </c>
      <c r="N69" s="2" t="s">
        <v>960</v>
      </c>
      <c r="O69" t="s">
        <v>1357</v>
      </c>
      <c r="P69">
        <f>VLOOKUP(J69,A68:K670,6,TRUE)</f>
        <v>0</v>
      </c>
    </row>
    <row r="70" spans="1:16" x14ac:dyDescent="0.25">
      <c r="A70" t="s">
        <v>192</v>
      </c>
      <c r="B70" s="1">
        <v>41065</v>
      </c>
      <c r="C70" t="s">
        <v>14</v>
      </c>
      <c r="D70" t="s">
        <v>193</v>
      </c>
      <c r="E70" t="s">
        <v>88</v>
      </c>
      <c r="F70" t="s">
        <v>194</v>
      </c>
      <c r="G70" t="s">
        <v>195</v>
      </c>
      <c r="H70" t="s">
        <v>12</v>
      </c>
      <c r="J70" t="str">
        <f>IF(ISNUMBER(SEARCH("Episode",A70:A673)),A70:A673,"")</f>
        <v>Episode 061 - Men in Black II</v>
      </c>
      <c r="M70" t="str">
        <f t="shared" si="1"/>
        <v>Men in Black II</v>
      </c>
      <c r="N70" s="2" t="s">
        <v>961</v>
      </c>
      <c r="O70" t="s">
        <v>1358</v>
      </c>
      <c r="P70">
        <f>VLOOKUP(J70,A69:K671,6,TRUE)</f>
        <v>0</v>
      </c>
    </row>
    <row r="71" spans="1:16" x14ac:dyDescent="0.25">
      <c r="A71" t="s">
        <v>196</v>
      </c>
      <c r="B71" s="1">
        <v>41072</v>
      </c>
      <c r="C71" t="s">
        <v>14</v>
      </c>
      <c r="D71" t="s">
        <v>197</v>
      </c>
      <c r="E71" t="s">
        <v>88</v>
      </c>
      <c r="F71" t="s">
        <v>198</v>
      </c>
      <c r="G71" t="s">
        <v>195</v>
      </c>
      <c r="H71" t="s">
        <v>12</v>
      </c>
      <c r="J71" t="str">
        <f>IF(ISNUMBER(SEARCH("Episode",A71:A674)),A71:A674,"")</f>
        <v>Episode 062 - Cocoon</v>
      </c>
      <c r="M71" t="str">
        <f t="shared" si="1"/>
        <v>Cocoon</v>
      </c>
      <c r="N71" s="2" t="s">
        <v>962</v>
      </c>
      <c r="O71" t="s">
        <v>1359</v>
      </c>
      <c r="P71" t="str">
        <f>VLOOKUP(J71,A70:K672,6,TRUE)</f>
        <v>Episode 41</v>
      </c>
    </row>
    <row r="72" spans="1:16" x14ac:dyDescent="0.25">
      <c r="A72" t="s">
        <v>199</v>
      </c>
      <c r="B72" s="1">
        <v>41079</v>
      </c>
      <c r="C72" t="s">
        <v>14</v>
      </c>
      <c r="D72" t="s">
        <v>200</v>
      </c>
      <c r="E72" t="s">
        <v>88</v>
      </c>
      <c r="F72" t="s">
        <v>201</v>
      </c>
      <c r="G72" t="s">
        <v>195</v>
      </c>
      <c r="H72" t="s">
        <v>12</v>
      </c>
      <c r="J72" t="str">
        <f>IF(ISNUMBER(SEARCH("Episode",A72:A675)),A72:A675,"")</f>
        <v>Episode 063 - Jaws: The Revenge</v>
      </c>
      <c r="M72" t="str">
        <f t="shared" si="1"/>
        <v>Jaws: The Revenge</v>
      </c>
      <c r="N72" s="2" t="s">
        <v>963</v>
      </c>
      <c r="O72" t="s">
        <v>1360</v>
      </c>
      <c r="P72" t="str">
        <f>VLOOKUP(J72,A71:K673,6,TRUE)</f>
        <v>Episode 42</v>
      </c>
    </row>
    <row r="73" spans="1:16" x14ac:dyDescent="0.25">
      <c r="A73" t="s">
        <v>202</v>
      </c>
      <c r="B73" s="1">
        <v>41086</v>
      </c>
      <c r="C73" t="s">
        <v>14</v>
      </c>
      <c r="D73" t="s">
        <v>203</v>
      </c>
      <c r="E73" t="s">
        <v>88</v>
      </c>
      <c r="F73" t="s">
        <v>204</v>
      </c>
      <c r="G73" t="s">
        <v>195</v>
      </c>
      <c r="H73" t="s">
        <v>12</v>
      </c>
      <c r="J73" t="str">
        <f>IF(ISNUMBER(SEARCH("Episode",A73:A676)),A73:A676,"")</f>
        <v>Episode 064 - The Next Karate Kid</v>
      </c>
      <c r="M73" t="str">
        <f t="shared" si="1"/>
        <v>The Next Karate Kid</v>
      </c>
      <c r="N73" s="2" t="s">
        <v>964</v>
      </c>
      <c r="O73" t="s">
        <v>1361</v>
      </c>
      <c r="P73" t="str">
        <f>VLOOKUP(J73,A72:K674,6,TRUE)</f>
        <v>Episode 43</v>
      </c>
    </row>
    <row r="74" spans="1:16" x14ac:dyDescent="0.25">
      <c r="A74" t="s">
        <v>205</v>
      </c>
      <c r="B74" s="1">
        <v>41093</v>
      </c>
      <c r="C74" t="s">
        <v>14</v>
      </c>
      <c r="D74" t="s">
        <v>206</v>
      </c>
      <c r="E74" t="s">
        <v>88</v>
      </c>
      <c r="F74" t="s">
        <v>207</v>
      </c>
      <c r="G74" t="s">
        <v>195</v>
      </c>
      <c r="H74" t="s">
        <v>12</v>
      </c>
      <c r="J74" t="str">
        <f>IF(ISNUMBER(SEARCH("Episode",A74:A677)),A74:A677,"")</f>
        <v>Episode 065 - Nine Months</v>
      </c>
      <c r="M74" t="str">
        <f t="shared" si="1"/>
        <v>Nine Months</v>
      </c>
      <c r="N74" s="2" t="s">
        <v>965</v>
      </c>
      <c r="O74" t="s">
        <v>1362</v>
      </c>
      <c r="P74">
        <f>VLOOKUP(J74,A73:K675,6,TRUE)</f>
        <v>0</v>
      </c>
    </row>
    <row r="75" spans="1:16" x14ac:dyDescent="0.25">
      <c r="A75" t="s">
        <v>208</v>
      </c>
      <c r="B75" s="1">
        <v>41100</v>
      </c>
      <c r="C75" t="s">
        <v>14</v>
      </c>
      <c r="D75" t="s">
        <v>209</v>
      </c>
      <c r="E75" t="s">
        <v>88</v>
      </c>
      <c r="F75" t="s">
        <v>210</v>
      </c>
      <c r="G75" t="s">
        <v>195</v>
      </c>
      <c r="H75" t="s">
        <v>12</v>
      </c>
      <c r="J75" t="str">
        <f>IF(ISNUMBER(SEARCH("Episode",A75:A678)),A75:A678,"")</f>
        <v>Episode 066 - Inspector Gadget</v>
      </c>
      <c r="M75" t="str">
        <f t="shared" si="1"/>
        <v>Inspector Gadget</v>
      </c>
      <c r="N75" s="2" t="s">
        <v>966</v>
      </c>
      <c r="O75" t="s">
        <v>1363</v>
      </c>
      <c r="P75" t="str">
        <f>VLOOKUP(J75,A74:K676,6,TRUE)</f>
        <v>Episode 45</v>
      </c>
    </row>
    <row r="76" spans="1:16" x14ac:dyDescent="0.25">
      <c r="A76" t="s">
        <v>211</v>
      </c>
      <c r="B76" s="1">
        <v>41107</v>
      </c>
      <c r="C76" t="s">
        <v>14</v>
      </c>
      <c r="D76" t="s">
        <v>212</v>
      </c>
      <c r="E76" t="s">
        <v>88</v>
      </c>
      <c r="F76" t="s">
        <v>213</v>
      </c>
      <c r="G76" t="s">
        <v>195</v>
      </c>
      <c r="H76" t="s">
        <v>12</v>
      </c>
      <c r="J76" t="str">
        <f>IF(ISNUMBER(SEARCH("Episode",A76:A679)),A76:A679,"")</f>
        <v>Episode 067 - Spawn</v>
      </c>
      <c r="M76" t="str">
        <f t="shared" si="1"/>
        <v>Spawn</v>
      </c>
      <c r="N76" s="2" t="s">
        <v>967</v>
      </c>
      <c r="O76" t="s">
        <v>1364</v>
      </c>
      <c r="P76" t="str">
        <f>VLOOKUP(J76,A75:K677,6,TRUE)</f>
        <v>Episode 46</v>
      </c>
    </row>
    <row r="77" spans="1:16" x14ac:dyDescent="0.25">
      <c r="A77" t="s">
        <v>214</v>
      </c>
      <c r="B77" s="1">
        <v>41114</v>
      </c>
      <c r="C77" t="s">
        <v>14</v>
      </c>
      <c r="D77" t="s">
        <v>215</v>
      </c>
      <c r="E77" t="s">
        <v>88</v>
      </c>
      <c r="F77" t="s">
        <v>216</v>
      </c>
      <c r="G77" t="s">
        <v>195</v>
      </c>
      <c r="H77" t="s">
        <v>12</v>
      </c>
      <c r="J77" t="str">
        <f>IF(ISNUMBER(SEARCH("Episode",A77:A680)),A77:A680,"")</f>
        <v>Episode 068 - Reign of Fire</v>
      </c>
      <c r="M77" t="str">
        <f t="shared" si="1"/>
        <v>Reign of Fire</v>
      </c>
      <c r="N77" s="2" t="s">
        <v>968</v>
      </c>
      <c r="O77" t="s">
        <v>1365</v>
      </c>
      <c r="P77" t="str">
        <f>VLOOKUP(J77,A76:K678,6,TRUE)</f>
        <v>Episode 47</v>
      </c>
    </row>
    <row r="78" spans="1:16" x14ac:dyDescent="0.25">
      <c r="A78" t="s">
        <v>217</v>
      </c>
      <c r="B78" s="1">
        <v>41121</v>
      </c>
      <c r="C78" t="s">
        <v>14</v>
      </c>
      <c r="D78" t="s">
        <v>218</v>
      </c>
      <c r="E78" t="s">
        <v>88</v>
      </c>
      <c r="F78" t="s">
        <v>219</v>
      </c>
      <c r="G78" t="s">
        <v>195</v>
      </c>
      <c r="H78" t="s">
        <v>12</v>
      </c>
      <c r="J78" t="str">
        <f>IF(ISNUMBER(SEARCH("Episode",A78:A681)),A78:A681,"")</f>
        <v>Episode 069 - Twister</v>
      </c>
      <c r="M78" t="str">
        <f t="shared" si="1"/>
        <v>Twister</v>
      </c>
      <c r="N78" s="2" t="s">
        <v>969</v>
      </c>
      <c r="O78" t="s">
        <v>1366</v>
      </c>
      <c r="P78" t="str">
        <f>VLOOKUP(J78,A77:K679,6,TRUE)</f>
        <v>Episode 48</v>
      </c>
    </row>
    <row r="79" spans="1:16" x14ac:dyDescent="0.25">
      <c r="A79" t="s">
        <v>220</v>
      </c>
      <c r="B79" s="1">
        <v>41128</v>
      </c>
      <c r="C79" t="s">
        <v>14</v>
      </c>
      <c r="D79" t="s">
        <v>221</v>
      </c>
      <c r="E79" t="s">
        <v>88</v>
      </c>
      <c r="F79" t="s">
        <v>222</v>
      </c>
      <c r="H79" t="s">
        <v>12</v>
      </c>
      <c r="J79" t="str">
        <f>IF(ISNUMBER(SEARCH("Episode",A79:A682)),A79:A682,"")</f>
        <v>Episode 070 - Kill Crazy</v>
      </c>
      <c r="M79" t="str">
        <f t="shared" si="1"/>
        <v>Kill Crazy</v>
      </c>
      <c r="N79" s="2" t="s">
        <v>970</v>
      </c>
      <c r="O79" t="s">
        <v>1367</v>
      </c>
      <c r="P79" t="str">
        <f>VLOOKUP(J79,A78:K680,6,TRUE)</f>
        <v>Episode 49</v>
      </c>
    </row>
    <row r="80" spans="1:16" x14ac:dyDescent="0.25">
      <c r="A80" t="s">
        <v>223</v>
      </c>
      <c r="B80" s="1">
        <v>41135</v>
      </c>
      <c r="C80" t="s">
        <v>14</v>
      </c>
      <c r="D80" t="s">
        <v>224</v>
      </c>
      <c r="E80" t="s">
        <v>88</v>
      </c>
      <c r="F80" t="s">
        <v>225</v>
      </c>
      <c r="H80" t="s">
        <v>12</v>
      </c>
      <c r="J80" t="str">
        <f>IF(ISNUMBER(SEARCH("Episode",A80:A683)),A80:A683,"")</f>
        <v>Episode 071 - Mo' Money</v>
      </c>
      <c r="M80" t="str">
        <f t="shared" si="1"/>
        <v>Mo' Money</v>
      </c>
      <c r="N80" s="2" t="s">
        <v>971</v>
      </c>
      <c r="O80" t="s">
        <v>1368</v>
      </c>
      <c r="P80">
        <f>VLOOKUP(J80,A79:K681,6,TRUE)</f>
        <v>0</v>
      </c>
    </row>
    <row r="81" spans="1:16" x14ac:dyDescent="0.25">
      <c r="A81" t="s">
        <v>226</v>
      </c>
      <c r="B81" s="1">
        <v>41142</v>
      </c>
      <c r="C81" t="s">
        <v>108</v>
      </c>
      <c r="D81" s="1">
        <v>42593</v>
      </c>
      <c r="E81" t="s">
        <v>88</v>
      </c>
      <c r="F81" t="s">
        <v>227</v>
      </c>
      <c r="G81" t="s">
        <v>228</v>
      </c>
      <c r="H81" t="s">
        <v>12</v>
      </c>
      <c r="J81" t="str">
        <f>IF(ISNUMBER(SEARCH("Episode",A81:A684)),A81:A684,"")</f>
        <v>Episode 072 - Dracula 2000</v>
      </c>
      <c r="M81" t="str">
        <f t="shared" si="1"/>
        <v>Dracula 2000</v>
      </c>
      <c r="N81" s="2" t="s">
        <v>972</v>
      </c>
      <c r="O81" t="s">
        <v>1369</v>
      </c>
      <c r="P81" t="str">
        <f>VLOOKUP(J81,A80:K682,6,TRUE)</f>
        <v>Episode 51</v>
      </c>
    </row>
    <row r="82" spans="1:16" x14ac:dyDescent="0.25">
      <c r="A82" t="s">
        <v>229</v>
      </c>
      <c r="B82" s="1">
        <v>41149</v>
      </c>
      <c r="C82" t="s">
        <v>14</v>
      </c>
      <c r="D82" t="s">
        <v>230</v>
      </c>
      <c r="E82" t="s">
        <v>88</v>
      </c>
      <c r="F82" t="s">
        <v>231</v>
      </c>
      <c r="H82" t="s">
        <v>12</v>
      </c>
      <c r="J82" t="str">
        <f>IF(ISNUMBER(SEARCH("Episode",A82:A685)),A82:A685,"")</f>
        <v>Episode 073 - Rock 'n' Roll High School Forever</v>
      </c>
      <c r="M82" t="str">
        <f t="shared" si="1"/>
        <v>Rock 'n' Roll High School Forever</v>
      </c>
      <c r="N82" s="2" t="s">
        <v>973</v>
      </c>
      <c r="O82" t="s">
        <v>1370</v>
      </c>
      <c r="P82" t="str">
        <f>VLOOKUP(J82,A81:K683,6,TRUE)</f>
        <v>Episode 52</v>
      </c>
    </row>
    <row r="83" spans="1:16" x14ac:dyDescent="0.25">
      <c r="A83" t="s">
        <v>232</v>
      </c>
      <c r="B83" s="1">
        <v>41155</v>
      </c>
      <c r="C83" t="s">
        <v>233</v>
      </c>
      <c r="D83" t="s">
        <v>234</v>
      </c>
      <c r="E83" t="s">
        <v>235</v>
      </c>
      <c r="H83" t="s">
        <v>236</v>
      </c>
      <c r="J83" t="str">
        <f>IF(ISNUMBER(SEARCH("Episode",A83:A686)),A83:A686,"")</f>
        <v/>
      </c>
      <c r="M83" t="str">
        <f t="shared" si="1"/>
        <v/>
      </c>
      <c r="N83" s="2" t="s">
        <v>974</v>
      </c>
      <c r="O83" t="s">
        <v>1371</v>
      </c>
      <c r="P83" t="e">
        <f>VLOOKUP(J83,A82:K684,6,TRUE)</f>
        <v>#N/A</v>
      </c>
    </row>
    <row r="84" spans="1:16" x14ac:dyDescent="0.25">
      <c r="A84" t="s">
        <v>237</v>
      </c>
      <c r="B84" s="1">
        <v>41156</v>
      </c>
      <c r="C84" t="s">
        <v>108</v>
      </c>
      <c r="D84" s="1">
        <v>41856</v>
      </c>
      <c r="E84" t="s">
        <v>235</v>
      </c>
      <c r="F84" t="s">
        <v>11</v>
      </c>
      <c r="G84" t="s">
        <v>238</v>
      </c>
      <c r="H84" t="s">
        <v>12</v>
      </c>
      <c r="J84" t="str">
        <f>IF(ISNUMBER(SEARCH("Episode",A84:A687)),A84:A687,"")</f>
        <v>Episode 074 - Invisible Child</v>
      </c>
      <c r="M84" t="str">
        <f t="shared" si="1"/>
        <v>Invisible Child</v>
      </c>
      <c r="N84" s="2" t="s">
        <v>975</v>
      </c>
      <c r="O84" t="s">
        <v>1372</v>
      </c>
      <c r="P84" t="str">
        <f>VLOOKUP(J84,A83:K685,6,TRUE)</f>
        <v>Episode 1</v>
      </c>
    </row>
    <row r="85" spans="1:16" x14ac:dyDescent="0.25">
      <c r="A85" t="s">
        <v>239</v>
      </c>
      <c r="B85" s="1">
        <v>41158</v>
      </c>
      <c r="C85" t="s">
        <v>14</v>
      </c>
      <c r="D85" t="s">
        <v>240</v>
      </c>
      <c r="E85" t="s">
        <v>235</v>
      </c>
      <c r="H85" t="s">
        <v>241</v>
      </c>
      <c r="J85" t="str">
        <f>IF(ISNUMBER(SEARCH("Episode",A85:A688)),A85:A688,"")</f>
        <v/>
      </c>
      <c r="M85" t="str">
        <f t="shared" si="1"/>
        <v/>
      </c>
      <c r="N85" s="2" t="s">
        <v>976</v>
      </c>
      <c r="O85" t="s">
        <v>1373</v>
      </c>
      <c r="P85" t="e">
        <f>VLOOKUP(J85,A84:K686,6,TRUE)</f>
        <v>#N/A</v>
      </c>
    </row>
    <row r="86" spans="1:16" x14ac:dyDescent="0.25">
      <c r="A86" t="s">
        <v>242</v>
      </c>
      <c r="B86" s="1">
        <v>41163</v>
      </c>
      <c r="C86" t="s">
        <v>14</v>
      </c>
      <c r="D86" t="s">
        <v>243</v>
      </c>
      <c r="E86" t="s">
        <v>235</v>
      </c>
      <c r="F86" t="s">
        <v>16</v>
      </c>
      <c r="G86" t="s">
        <v>244</v>
      </c>
      <c r="H86" t="s">
        <v>12</v>
      </c>
      <c r="J86" t="str">
        <f>IF(ISNUMBER(SEARCH("Episode",A86:A689)),A86:A689,"")</f>
        <v>Episode 075 - Perfect Stranger</v>
      </c>
      <c r="M86" t="str">
        <f t="shared" si="1"/>
        <v>Perfect Stranger</v>
      </c>
      <c r="N86" s="2" t="s">
        <v>977</v>
      </c>
      <c r="O86" t="s">
        <v>1374</v>
      </c>
      <c r="P86">
        <f>VLOOKUP(J86,A85:K687,6,TRUE)</f>
        <v>0</v>
      </c>
    </row>
    <row r="87" spans="1:16" x14ac:dyDescent="0.25">
      <c r="A87" t="s">
        <v>245</v>
      </c>
      <c r="B87" s="1">
        <v>41170</v>
      </c>
      <c r="C87" t="s">
        <v>14</v>
      </c>
      <c r="D87" t="s">
        <v>246</v>
      </c>
      <c r="E87" t="s">
        <v>235</v>
      </c>
      <c r="F87" t="s">
        <v>19</v>
      </c>
      <c r="G87" t="s">
        <v>244</v>
      </c>
      <c r="H87" t="s">
        <v>12</v>
      </c>
      <c r="J87" t="str">
        <f>IF(ISNUMBER(SEARCH("Episode",A87:A690)),A87:A690,"")</f>
        <v>Episode 076 - Never Too Young to Die</v>
      </c>
      <c r="M87" t="str">
        <f t="shared" si="1"/>
        <v>Never Too Young to Die</v>
      </c>
      <c r="N87" s="2" t="s">
        <v>978</v>
      </c>
      <c r="O87" t="s">
        <v>1375</v>
      </c>
      <c r="P87">
        <f>VLOOKUP(J87,A86:K688,6,TRUE)</f>
        <v>0</v>
      </c>
    </row>
    <row r="88" spans="1:16" x14ac:dyDescent="0.25">
      <c r="A88" t="s">
        <v>247</v>
      </c>
      <c r="B88" s="1">
        <v>41177</v>
      </c>
      <c r="C88" t="s">
        <v>14</v>
      </c>
      <c r="D88" t="s">
        <v>248</v>
      </c>
      <c r="E88" t="s">
        <v>235</v>
      </c>
      <c r="F88" t="s">
        <v>22</v>
      </c>
      <c r="G88" t="s">
        <v>244</v>
      </c>
      <c r="H88" t="s">
        <v>12</v>
      </c>
      <c r="J88" t="str">
        <f>IF(ISNUMBER(SEARCH("Episode",A88:A691)),A88:A691,"")</f>
        <v>Episode 077 - Heart Condition</v>
      </c>
      <c r="M88" t="str">
        <f t="shared" si="1"/>
        <v>Heart Condition</v>
      </c>
      <c r="N88" s="2" t="s">
        <v>979</v>
      </c>
      <c r="O88" t="s">
        <v>1683</v>
      </c>
      <c r="P88" t="str">
        <f>VLOOKUP(J88,A87:K689,6,TRUE)</f>
        <v>Episode 4</v>
      </c>
    </row>
    <row r="89" spans="1:16" x14ac:dyDescent="0.25">
      <c r="A89" t="s">
        <v>249</v>
      </c>
      <c r="B89" s="1">
        <v>41184</v>
      </c>
      <c r="C89" t="s">
        <v>108</v>
      </c>
      <c r="D89" s="1">
        <v>42614</v>
      </c>
      <c r="E89" t="s">
        <v>235</v>
      </c>
      <c r="F89" t="s">
        <v>25</v>
      </c>
      <c r="G89" t="s">
        <v>250</v>
      </c>
      <c r="H89" t="s">
        <v>12</v>
      </c>
      <c r="J89" t="str">
        <f>IF(ISNUMBER(SEARCH("Episode",A89:A692)),A89:A692,"")</f>
        <v>Episode 078 - Silver Bullet</v>
      </c>
      <c r="M89" t="str">
        <f t="shared" si="1"/>
        <v>Silver Bullet</v>
      </c>
      <c r="N89" s="2" t="s">
        <v>980</v>
      </c>
      <c r="O89" t="s">
        <v>1376</v>
      </c>
      <c r="P89" t="str">
        <f>VLOOKUP(J89,A88:K690,6,TRUE)</f>
        <v>Episode 5</v>
      </c>
    </row>
    <row r="90" spans="1:16" x14ac:dyDescent="0.25">
      <c r="A90" t="s">
        <v>251</v>
      </c>
      <c r="B90" s="1">
        <v>41191</v>
      </c>
      <c r="C90" t="s">
        <v>14</v>
      </c>
      <c r="D90" t="s">
        <v>252</v>
      </c>
      <c r="E90" t="s">
        <v>235</v>
      </c>
      <c r="F90" t="s">
        <v>28</v>
      </c>
      <c r="G90" t="s">
        <v>253</v>
      </c>
      <c r="H90" t="s">
        <v>12</v>
      </c>
      <c r="J90" t="str">
        <f>IF(ISNUMBER(SEARCH("Episode",A90:A693)),A90:A693,"")</f>
        <v>Episode 079 - Ghost in the Machine</v>
      </c>
      <c r="M90" t="str">
        <f t="shared" si="1"/>
        <v>Ghost in the Machine</v>
      </c>
      <c r="N90" s="2" t="s">
        <v>981</v>
      </c>
      <c r="O90" t="s">
        <v>1377</v>
      </c>
      <c r="P90" t="str">
        <f>VLOOKUP(J90,A89:K691,6,TRUE)</f>
        <v>Episode 6</v>
      </c>
    </row>
    <row r="91" spans="1:16" x14ac:dyDescent="0.25">
      <c r="A91" t="s">
        <v>254</v>
      </c>
      <c r="B91" s="1">
        <v>41198</v>
      </c>
      <c r="C91" t="s">
        <v>108</v>
      </c>
      <c r="D91" s="1">
        <v>41870</v>
      </c>
      <c r="E91" t="s">
        <v>235</v>
      </c>
      <c r="F91" t="s">
        <v>31</v>
      </c>
      <c r="G91" t="s">
        <v>238</v>
      </c>
      <c r="H91" t="s">
        <v>12</v>
      </c>
      <c r="J91" t="str">
        <f>IF(ISNUMBER(SEARCH("Episode",A91:A694)),A91:A694,"")</f>
        <v>Episode 080 - Friday the 13th - Part V: A New Beginning</v>
      </c>
      <c r="M91" t="str">
        <f t="shared" si="1"/>
        <v>Friday the 13th - Part V: A New Beginning</v>
      </c>
      <c r="N91" s="2" t="s">
        <v>982</v>
      </c>
      <c r="O91" t="s">
        <v>1378</v>
      </c>
      <c r="P91" t="str">
        <f>VLOOKUP(J91,A90:K692,6,TRUE)</f>
        <v>Episode 7</v>
      </c>
    </row>
    <row r="92" spans="1:16" x14ac:dyDescent="0.25">
      <c r="A92" t="s">
        <v>255</v>
      </c>
      <c r="B92" s="1">
        <v>41205</v>
      </c>
      <c r="C92" t="s">
        <v>14</v>
      </c>
      <c r="D92" t="s">
        <v>256</v>
      </c>
      <c r="E92" t="s">
        <v>235</v>
      </c>
      <c r="F92" t="s">
        <v>37</v>
      </c>
      <c r="G92" t="s">
        <v>253</v>
      </c>
      <c r="H92" t="s">
        <v>12</v>
      </c>
      <c r="J92" t="str">
        <f>IF(ISNUMBER(SEARCH("Episode",A92:A695)),A92:A695,"")</f>
        <v>Episode 081 - Bordello of Blood</v>
      </c>
      <c r="M92" t="str">
        <f t="shared" si="1"/>
        <v>Bordello of Blood</v>
      </c>
      <c r="N92" s="2" t="s">
        <v>983</v>
      </c>
      <c r="O92" t="s">
        <v>1379</v>
      </c>
      <c r="P92" t="str">
        <f>VLOOKUP(J92,A91:K693,6,TRUE)</f>
        <v>Episode 8</v>
      </c>
    </row>
    <row r="93" spans="1:16" x14ac:dyDescent="0.25">
      <c r="A93" t="s">
        <v>257</v>
      </c>
      <c r="B93" s="1">
        <v>41212</v>
      </c>
      <c r="C93" t="s">
        <v>14</v>
      </c>
      <c r="D93" t="s">
        <v>258</v>
      </c>
      <c r="E93" t="s">
        <v>235</v>
      </c>
      <c r="F93" t="s">
        <v>40</v>
      </c>
      <c r="G93" t="s">
        <v>253</v>
      </c>
      <c r="H93" t="s">
        <v>12</v>
      </c>
      <c r="J93" t="str">
        <f>IF(ISNUMBER(SEARCH("Episode",A93:A696)),A93:A696,"")</f>
        <v>Episode 082 - Bless the Child</v>
      </c>
      <c r="M93" t="str">
        <f t="shared" si="1"/>
        <v>Bless the Child</v>
      </c>
      <c r="N93" s="2" t="s">
        <v>984</v>
      </c>
      <c r="O93" t="s">
        <v>1380</v>
      </c>
      <c r="P93">
        <f>VLOOKUP(J93,A92:K694,6,TRUE)</f>
        <v>0</v>
      </c>
    </row>
    <row r="94" spans="1:16" x14ac:dyDescent="0.25">
      <c r="A94" t="s">
        <v>259</v>
      </c>
      <c r="B94" s="1">
        <v>41219</v>
      </c>
      <c r="C94" t="s">
        <v>14</v>
      </c>
      <c r="D94" t="s">
        <v>260</v>
      </c>
      <c r="E94" t="s">
        <v>235</v>
      </c>
      <c r="F94" t="s">
        <v>43</v>
      </c>
      <c r="H94" t="s">
        <v>12</v>
      </c>
      <c r="J94" t="str">
        <f>IF(ISNUMBER(SEARCH("Episode",A94:A697)),A94:A697,"")</f>
        <v>Episode 083 - K-911</v>
      </c>
      <c r="M94" t="str">
        <f t="shared" si="1"/>
        <v>K-911</v>
      </c>
      <c r="N94" s="2" t="s">
        <v>985</v>
      </c>
      <c r="O94" t="s">
        <v>1381</v>
      </c>
      <c r="P94" t="str">
        <f>VLOOKUP(J94,A93:K695,6,TRUE)</f>
        <v>Episode 10</v>
      </c>
    </row>
    <row r="95" spans="1:16" x14ac:dyDescent="0.25">
      <c r="A95" t="s">
        <v>261</v>
      </c>
      <c r="B95" s="1">
        <v>41226</v>
      </c>
      <c r="C95" t="s">
        <v>14</v>
      </c>
      <c r="D95" t="s">
        <v>262</v>
      </c>
      <c r="E95" t="s">
        <v>235</v>
      </c>
      <c r="F95" t="s">
        <v>46</v>
      </c>
      <c r="H95" t="s">
        <v>12</v>
      </c>
      <c r="J95" t="str">
        <f>IF(ISNUMBER(SEARCH("Episode",A95:A698)),A95:A698,"")</f>
        <v>Episode 084 - Die Another Day</v>
      </c>
      <c r="M95" t="str">
        <f t="shared" si="1"/>
        <v>Die Another Day</v>
      </c>
      <c r="N95" s="2" t="s">
        <v>986</v>
      </c>
      <c r="O95" t="s">
        <v>1382</v>
      </c>
      <c r="P95">
        <f>VLOOKUP(J95,A94:K696,6,TRUE)</f>
        <v>0</v>
      </c>
    </row>
    <row r="96" spans="1:16" x14ac:dyDescent="0.25">
      <c r="A96" t="s">
        <v>263</v>
      </c>
      <c r="B96" s="1">
        <v>41233</v>
      </c>
      <c r="C96" t="s">
        <v>14</v>
      </c>
      <c r="D96" t="s">
        <v>264</v>
      </c>
      <c r="E96" t="s">
        <v>235</v>
      </c>
      <c r="F96" t="s">
        <v>49</v>
      </c>
      <c r="H96" t="s">
        <v>12</v>
      </c>
      <c r="J96" t="str">
        <f>IF(ISNUMBER(SEARCH("Episode",A96:A699)),A96:A699,"")</f>
        <v>Episode 085 - Madhouse</v>
      </c>
      <c r="M96" t="str">
        <f t="shared" si="1"/>
        <v>Madhouse</v>
      </c>
      <c r="N96" s="2" t="s">
        <v>987</v>
      </c>
      <c r="O96" t="s">
        <v>1383</v>
      </c>
      <c r="P96" t="str">
        <f>VLOOKUP(J96,A95:K697,6,TRUE)</f>
        <v>Episode 12</v>
      </c>
    </row>
    <row r="97" spans="1:16" x14ac:dyDescent="0.25">
      <c r="A97" t="s">
        <v>265</v>
      </c>
      <c r="B97" s="1">
        <v>41240</v>
      </c>
      <c r="C97" t="s">
        <v>108</v>
      </c>
      <c r="D97" s="1">
        <v>42964</v>
      </c>
      <c r="E97" t="s">
        <v>235</v>
      </c>
      <c r="F97" t="s">
        <v>52</v>
      </c>
      <c r="G97" t="s">
        <v>266</v>
      </c>
      <c r="H97" t="s">
        <v>12</v>
      </c>
      <c r="J97" t="str">
        <f>IF(ISNUMBER(SEARCH("Episode",A97:A700)),A97:A700,"")</f>
        <v>Episode 086 - Star Trek: Insurrection</v>
      </c>
      <c r="M97" t="str">
        <f t="shared" si="1"/>
        <v>Star Trek: Insurrection</v>
      </c>
      <c r="N97" s="2" t="s">
        <v>988</v>
      </c>
      <c r="O97" t="s">
        <v>1384</v>
      </c>
      <c r="P97" t="str">
        <f>VLOOKUP(J97,A96:K698,6,TRUE)</f>
        <v>Episode 13</v>
      </c>
    </row>
    <row r="98" spans="1:16" x14ac:dyDescent="0.25">
      <c r="A98" t="s">
        <v>267</v>
      </c>
      <c r="B98" s="1">
        <v>41247</v>
      </c>
      <c r="C98" t="s">
        <v>108</v>
      </c>
      <c r="D98" s="1">
        <v>42227</v>
      </c>
      <c r="E98" t="s">
        <v>235</v>
      </c>
      <c r="F98" t="s">
        <v>56</v>
      </c>
      <c r="G98" t="s">
        <v>113</v>
      </c>
      <c r="H98" t="s">
        <v>12</v>
      </c>
      <c r="J98" t="str">
        <f>IF(ISNUMBER(SEARCH("Episode",A98:A701)),A98:A701,"")</f>
        <v>Episode 087 - Indiana Jones and the Kingdom of the Crystal Skull</v>
      </c>
      <c r="M98" t="str">
        <f t="shared" si="1"/>
        <v>Indiana Jones and the Kingdom of the Crystal Skull</v>
      </c>
      <c r="N98" s="2" t="s">
        <v>989</v>
      </c>
      <c r="O98" t="s">
        <v>1385</v>
      </c>
      <c r="P98" t="str">
        <f>VLOOKUP(J98,A97:K699,6,TRUE)</f>
        <v>Episode 14</v>
      </c>
    </row>
    <row r="99" spans="1:16" x14ac:dyDescent="0.25">
      <c r="A99" t="s">
        <v>268</v>
      </c>
      <c r="B99" s="1">
        <v>41254</v>
      </c>
      <c r="C99" t="s">
        <v>108</v>
      </c>
      <c r="D99" s="1">
        <v>42241</v>
      </c>
      <c r="E99" t="s">
        <v>235</v>
      </c>
      <c r="F99" t="s">
        <v>59</v>
      </c>
      <c r="G99" t="s">
        <v>113</v>
      </c>
      <c r="H99" t="s">
        <v>12</v>
      </c>
      <c r="J99" t="str">
        <f>IF(ISNUMBER(SEARCH("Episode",A99:A702)),A99:A702,"")</f>
        <v>Episode 088 - Eight Crazy Nights</v>
      </c>
      <c r="M99" t="str">
        <f t="shared" si="1"/>
        <v>Eight Crazy Nights</v>
      </c>
      <c r="N99" s="2" t="s">
        <v>990</v>
      </c>
      <c r="O99" t="s">
        <v>1386</v>
      </c>
      <c r="P99" t="str">
        <f>VLOOKUP(J99,A98:K700,6,TRUE)</f>
        <v>Episode 15</v>
      </c>
    </row>
    <row r="100" spans="1:16" x14ac:dyDescent="0.25">
      <c r="A100" t="s">
        <v>269</v>
      </c>
      <c r="B100" s="1">
        <v>41261</v>
      </c>
      <c r="C100" t="s">
        <v>14</v>
      </c>
      <c r="D100" t="s">
        <v>270</v>
      </c>
      <c r="E100" t="s">
        <v>235</v>
      </c>
      <c r="F100" t="s">
        <v>65</v>
      </c>
      <c r="H100" t="s">
        <v>12</v>
      </c>
      <c r="J100" t="str">
        <f>IF(ISNUMBER(SEARCH("Episode",A100:A703)),A100:A703,"")</f>
        <v>Episode 089 - The Rapture</v>
      </c>
      <c r="M100" t="str">
        <f t="shared" si="1"/>
        <v>The Rapture</v>
      </c>
      <c r="N100" s="2" t="s">
        <v>991</v>
      </c>
      <c r="O100" t="s">
        <v>1387</v>
      </c>
      <c r="P100">
        <f>VLOOKUP(J100,A99:K701,6,TRUE)</f>
        <v>0</v>
      </c>
    </row>
    <row r="101" spans="1:16" x14ac:dyDescent="0.25">
      <c r="A101" t="s">
        <v>271</v>
      </c>
      <c r="B101" s="1">
        <v>41268</v>
      </c>
      <c r="C101" t="s">
        <v>108</v>
      </c>
      <c r="D101" s="1">
        <v>42976</v>
      </c>
      <c r="E101" t="s">
        <v>235</v>
      </c>
      <c r="F101" t="s">
        <v>68</v>
      </c>
      <c r="G101" t="s">
        <v>266</v>
      </c>
      <c r="H101" t="s">
        <v>12</v>
      </c>
      <c r="J101" t="str">
        <f>IF(ISNUMBER(SEARCH("Episode",A101:A704)),A101:A704,"")</f>
        <v>Episode 090 - One Magic Christmas</v>
      </c>
      <c r="M101" t="str">
        <f t="shared" si="1"/>
        <v>One Magic Christmas</v>
      </c>
      <c r="N101" s="2" t="s">
        <v>992</v>
      </c>
      <c r="O101" t="s">
        <v>1388</v>
      </c>
      <c r="P101" t="str">
        <f>VLOOKUP(J101,A100:K702,6,TRUE)</f>
        <v>Episode 17</v>
      </c>
    </row>
    <row r="102" spans="1:16" x14ac:dyDescent="0.25">
      <c r="A102" t="s">
        <v>272</v>
      </c>
      <c r="B102" s="1">
        <v>41275</v>
      </c>
      <c r="C102" t="s">
        <v>14</v>
      </c>
      <c r="D102" t="s">
        <v>273</v>
      </c>
      <c r="E102" t="s">
        <v>235</v>
      </c>
      <c r="F102" t="s">
        <v>71</v>
      </c>
      <c r="G102" t="s">
        <v>274</v>
      </c>
      <c r="H102" t="s">
        <v>12</v>
      </c>
      <c r="J102" t="str">
        <f>IF(ISNUMBER(SEARCH("Episode",A102:A705)),A102:A705,"")</f>
        <v>Episode 091 - Step Up Revolution</v>
      </c>
      <c r="M102" t="str">
        <f t="shared" si="1"/>
        <v>Step Up Revolution</v>
      </c>
      <c r="N102" s="2" t="s">
        <v>993</v>
      </c>
      <c r="O102" t="s">
        <v>1389</v>
      </c>
      <c r="P102">
        <f>VLOOKUP(J102,A101:K703,6,TRUE)</f>
        <v>0</v>
      </c>
    </row>
    <row r="103" spans="1:16" x14ac:dyDescent="0.25">
      <c r="A103" t="s">
        <v>275</v>
      </c>
      <c r="B103" s="1">
        <v>41282</v>
      </c>
      <c r="C103" t="s">
        <v>14</v>
      </c>
      <c r="D103" t="s">
        <v>276</v>
      </c>
      <c r="E103" t="s">
        <v>235</v>
      </c>
      <c r="F103" t="s">
        <v>74</v>
      </c>
      <c r="G103" t="s">
        <v>274</v>
      </c>
      <c r="H103" t="s">
        <v>12</v>
      </c>
      <c r="J103" t="str">
        <f>IF(ISNUMBER(SEARCH("Episode",A103:A706)),A103:A706,"")</f>
        <v>Episode 092 - The Raven</v>
      </c>
      <c r="M103" t="str">
        <f t="shared" si="1"/>
        <v>The Raven</v>
      </c>
      <c r="N103" s="2" t="s">
        <v>994</v>
      </c>
      <c r="O103" t="s">
        <v>1390</v>
      </c>
      <c r="P103" t="str">
        <f>VLOOKUP(J103,A102:K704,6,TRUE)</f>
        <v>Episode 19</v>
      </c>
    </row>
    <row r="104" spans="1:16" x14ac:dyDescent="0.25">
      <c r="A104" t="s">
        <v>277</v>
      </c>
      <c r="B104" s="1">
        <v>41289</v>
      </c>
      <c r="C104" t="s">
        <v>14</v>
      </c>
      <c r="D104" t="s">
        <v>278</v>
      </c>
      <c r="E104" t="s">
        <v>235</v>
      </c>
      <c r="F104" t="s">
        <v>79</v>
      </c>
      <c r="G104" t="s">
        <v>274</v>
      </c>
      <c r="H104" t="s">
        <v>12</v>
      </c>
      <c r="J104" t="str">
        <f>IF(ISNUMBER(SEARCH("Episode",A104:A707)),A104:A707,"")</f>
        <v>Episode 093 - Alex Cross</v>
      </c>
      <c r="M104" t="str">
        <f t="shared" si="1"/>
        <v>Alex Cross</v>
      </c>
      <c r="N104" s="2" t="s">
        <v>995</v>
      </c>
      <c r="O104" t="s">
        <v>1391</v>
      </c>
      <c r="P104" t="str">
        <f>VLOOKUP(J104,A103:K705,6,TRUE)</f>
        <v>Episode 20</v>
      </c>
    </row>
    <row r="105" spans="1:16" x14ac:dyDescent="0.25">
      <c r="A105" t="s">
        <v>279</v>
      </c>
      <c r="B105" s="1">
        <v>41296</v>
      </c>
      <c r="C105" t="s">
        <v>14</v>
      </c>
      <c r="D105" t="s">
        <v>280</v>
      </c>
      <c r="E105" t="s">
        <v>235</v>
      </c>
      <c r="F105" t="s">
        <v>85</v>
      </c>
      <c r="G105" t="s">
        <v>274</v>
      </c>
      <c r="H105" t="s">
        <v>12</v>
      </c>
      <c r="J105" t="str">
        <f>IF(ISNUMBER(SEARCH("Episode",A105:A708)),A105:A708,"")</f>
        <v>Episode 094 - Tooth Fairy 2</v>
      </c>
      <c r="M105" t="str">
        <f t="shared" si="1"/>
        <v>Tooth Fairy 2</v>
      </c>
      <c r="N105" s="2" t="s">
        <v>996</v>
      </c>
      <c r="O105" t="s">
        <v>1392</v>
      </c>
      <c r="P105" t="str">
        <f>VLOOKUP(J105,A104:K706,6,TRUE)</f>
        <v>Episode 21</v>
      </c>
    </row>
    <row r="106" spans="1:16" x14ac:dyDescent="0.25">
      <c r="A106" t="s">
        <v>281</v>
      </c>
      <c r="B106" s="1">
        <v>41303</v>
      </c>
      <c r="C106" t="s">
        <v>14</v>
      </c>
      <c r="D106" t="s">
        <v>282</v>
      </c>
      <c r="E106" t="s">
        <v>235</v>
      </c>
      <c r="F106" t="s">
        <v>143</v>
      </c>
      <c r="G106" t="s">
        <v>274</v>
      </c>
      <c r="H106" t="s">
        <v>12</v>
      </c>
      <c r="J106" t="str">
        <f>IF(ISNUMBER(SEARCH("Episode",A106:A709)),A106:A709,"")</f>
        <v>Episode 095 - This Means War</v>
      </c>
      <c r="M106" t="str">
        <f t="shared" si="1"/>
        <v>This Means War</v>
      </c>
      <c r="N106" s="2" t="s">
        <v>997</v>
      </c>
      <c r="O106" t="s">
        <v>1393</v>
      </c>
      <c r="P106" t="str">
        <f>VLOOKUP(J106,A105:K707,6,TRUE)</f>
        <v>Episode 22</v>
      </c>
    </row>
    <row r="107" spans="1:16" x14ac:dyDescent="0.25">
      <c r="A107" t="s">
        <v>283</v>
      </c>
      <c r="B107" s="1">
        <v>41310</v>
      </c>
      <c r="C107" t="s">
        <v>14</v>
      </c>
      <c r="D107" t="s">
        <v>284</v>
      </c>
      <c r="E107" t="s">
        <v>235</v>
      </c>
      <c r="F107" t="s">
        <v>145</v>
      </c>
      <c r="G107" t="s">
        <v>285</v>
      </c>
      <c r="H107" t="s">
        <v>12</v>
      </c>
      <c r="J107" t="str">
        <f>IF(ISNUMBER(SEARCH("Episode",A107:A710)),A107:A710,"")</f>
        <v>Episode 096 - On Deadly Ground (Live)</v>
      </c>
      <c r="M107" t="str">
        <f t="shared" si="1"/>
        <v>On Deadly Ground (Live)</v>
      </c>
      <c r="N107" s="2" t="s">
        <v>998</v>
      </c>
      <c r="O107" t="s">
        <v>1394</v>
      </c>
      <c r="P107">
        <f>VLOOKUP(J107,A106:K708,6,TRUE)</f>
        <v>0</v>
      </c>
    </row>
    <row r="108" spans="1:16" x14ac:dyDescent="0.25">
      <c r="A108" t="s">
        <v>286</v>
      </c>
      <c r="B108" s="1">
        <v>41317</v>
      </c>
      <c r="C108" t="s">
        <v>108</v>
      </c>
      <c r="D108" s="1">
        <v>41863</v>
      </c>
      <c r="E108" t="s">
        <v>235</v>
      </c>
      <c r="F108" t="s">
        <v>148</v>
      </c>
      <c r="G108" t="s">
        <v>117</v>
      </c>
      <c r="H108" t="s">
        <v>12</v>
      </c>
      <c r="J108" t="str">
        <f>IF(ISNUMBER(SEARCH("Episode",A108:A711)),A108:A711,"")</f>
        <v>Episode 097 - Tuff Turf</v>
      </c>
      <c r="M108" t="str">
        <f t="shared" si="1"/>
        <v>Tuff Turf</v>
      </c>
      <c r="N108" s="2" t="s">
        <v>999</v>
      </c>
      <c r="O108" t="s">
        <v>1395</v>
      </c>
      <c r="P108" t="str">
        <f>VLOOKUP(J108,A107:K709,6,TRUE)</f>
        <v>Episode 24</v>
      </c>
    </row>
    <row r="109" spans="1:16" x14ac:dyDescent="0.25">
      <c r="A109" t="s">
        <v>287</v>
      </c>
      <c r="B109" s="1">
        <v>41324</v>
      </c>
      <c r="C109" t="s">
        <v>14</v>
      </c>
      <c r="D109" t="s">
        <v>288</v>
      </c>
      <c r="E109" t="s">
        <v>235</v>
      </c>
      <c r="F109" t="s">
        <v>151</v>
      </c>
      <c r="H109" t="s">
        <v>12</v>
      </c>
      <c r="J109" t="str">
        <f>IF(ISNUMBER(SEARCH("Episode",A109:A712)),A109:A712,"")</f>
        <v>Episode 098 - Aspen Extreme</v>
      </c>
      <c r="M109" t="str">
        <f t="shared" si="1"/>
        <v>Aspen Extreme</v>
      </c>
      <c r="N109" s="2" t="s">
        <v>1000</v>
      </c>
      <c r="O109" t="s">
        <v>1396</v>
      </c>
      <c r="P109" t="str">
        <f>VLOOKUP(J109,A108:K710,6,TRUE)</f>
        <v>Episode 25</v>
      </c>
    </row>
    <row r="110" spans="1:16" x14ac:dyDescent="0.25">
      <c r="A110" t="s">
        <v>289</v>
      </c>
      <c r="B110" s="1">
        <v>41331</v>
      </c>
      <c r="C110" t="s">
        <v>108</v>
      </c>
      <c r="D110" s="1">
        <v>42955</v>
      </c>
      <c r="E110" t="s">
        <v>235</v>
      </c>
      <c r="F110" t="s">
        <v>154</v>
      </c>
      <c r="G110" t="s">
        <v>266</v>
      </c>
      <c r="H110" t="s">
        <v>12</v>
      </c>
      <c r="J110" t="str">
        <f>IF(ISNUMBER(SEARCH("Episode",A110:A713)),A110:A713,"")</f>
        <v>Episode 099 - Freejack</v>
      </c>
      <c r="M110" t="str">
        <f t="shared" si="1"/>
        <v>Freejack</v>
      </c>
      <c r="N110" s="2" t="s">
        <v>1001</v>
      </c>
      <c r="O110" t="s">
        <v>1397</v>
      </c>
      <c r="P110">
        <f>VLOOKUP(J110,A109:K711,6,TRUE)</f>
        <v>0</v>
      </c>
    </row>
    <row r="111" spans="1:16" x14ac:dyDescent="0.25">
      <c r="A111" t="s">
        <v>290</v>
      </c>
      <c r="B111" s="1">
        <v>41338</v>
      </c>
      <c r="C111" t="s">
        <v>14</v>
      </c>
      <c r="D111" t="s">
        <v>291</v>
      </c>
      <c r="E111" t="s">
        <v>235</v>
      </c>
      <c r="F111" t="s">
        <v>157</v>
      </c>
      <c r="H111" t="s">
        <v>12</v>
      </c>
      <c r="J111" t="str">
        <f>IF(ISNUMBER(SEARCH("Episode",A111:A714)),A111:A714,"")</f>
        <v>Episode 100 - Taking Care of Business</v>
      </c>
      <c r="M111" t="str">
        <f t="shared" si="1"/>
        <v>Taking Care of Business</v>
      </c>
      <c r="N111" s="2" t="s">
        <v>1002</v>
      </c>
      <c r="O111" t="s">
        <v>1398</v>
      </c>
      <c r="P111" t="str">
        <f>VLOOKUP(J111,A110:K712,6,TRUE)</f>
        <v>Episode 27</v>
      </c>
    </row>
    <row r="112" spans="1:16" x14ac:dyDescent="0.25">
      <c r="A112" t="s">
        <v>292</v>
      </c>
      <c r="B112" s="1">
        <v>41345</v>
      </c>
      <c r="C112" t="s">
        <v>14</v>
      </c>
      <c r="D112" t="s">
        <v>293</v>
      </c>
      <c r="E112" t="s">
        <v>235</v>
      </c>
      <c r="F112" t="s">
        <v>160</v>
      </c>
      <c r="H112" t="s">
        <v>12</v>
      </c>
      <c r="J112" t="str">
        <f>IF(ISNUMBER(SEARCH("Episode",A112:A715)),A112:A715,"")</f>
        <v>Episode 101 - The Pallbearer</v>
      </c>
      <c r="M112" t="str">
        <f t="shared" si="1"/>
        <v>The Pallbearer</v>
      </c>
      <c r="N112" s="2" t="s">
        <v>1003</v>
      </c>
      <c r="O112" t="s">
        <v>1399</v>
      </c>
      <c r="P112" t="str">
        <f>VLOOKUP(J112,A111:K713,6,TRUE)</f>
        <v>Episode 28</v>
      </c>
    </row>
    <row r="113" spans="1:16" x14ac:dyDescent="0.25">
      <c r="A113" t="s">
        <v>294</v>
      </c>
      <c r="B113" s="1">
        <v>41352</v>
      </c>
      <c r="C113" t="s">
        <v>108</v>
      </c>
      <c r="D113" s="1">
        <v>42948</v>
      </c>
      <c r="E113" t="s">
        <v>235</v>
      </c>
      <c r="F113" t="s">
        <v>163</v>
      </c>
      <c r="G113" t="s">
        <v>266</v>
      </c>
      <c r="H113" t="s">
        <v>12</v>
      </c>
      <c r="J113" t="str">
        <f>IF(ISNUMBER(SEARCH("Episode",A113:A716)),A113:A716,"")</f>
        <v>Episode 102 - Batman Forever</v>
      </c>
      <c r="M113" t="str">
        <f t="shared" si="1"/>
        <v>Batman Forever</v>
      </c>
      <c r="N113" s="2" t="s">
        <v>1004</v>
      </c>
      <c r="O113" t="s">
        <v>1400</v>
      </c>
      <c r="P113">
        <f>VLOOKUP(J113,A112:K714,6,TRUE)</f>
        <v>0</v>
      </c>
    </row>
    <row r="114" spans="1:16" x14ac:dyDescent="0.25">
      <c r="A114" t="s">
        <v>295</v>
      </c>
      <c r="B114" s="1">
        <v>41359</v>
      </c>
      <c r="C114" t="s">
        <v>14</v>
      </c>
      <c r="D114" t="s">
        <v>296</v>
      </c>
      <c r="E114" t="s">
        <v>235</v>
      </c>
      <c r="F114" t="s">
        <v>166</v>
      </c>
      <c r="H114" t="s">
        <v>12</v>
      </c>
      <c r="J114" t="str">
        <f>IF(ISNUMBER(SEARCH("Episode",A114:A717)),A114:A717,"")</f>
        <v>Episode 103 - Best of the Best 2</v>
      </c>
      <c r="M114" t="str">
        <f t="shared" si="1"/>
        <v>Best of the Best 2</v>
      </c>
      <c r="N114" s="2" t="s">
        <v>1005</v>
      </c>
      <c r="O114" t="s">
        <v>1401</v>
      </c>
      <c r="P114" t="str">
        <f>VLOOKUP(J114,A113:K715,6,TRUE)</f>
        <v>Episode 30</v>
      </c>
    </row>
    <row r="115" spans="1:16" x14ac:dyDescent="0.25">
      <c r="A115" t="s">
        <v>297</v>
      </c>
      <c r="B115" s="1">
        <v>41366</v>
      </c>
      <c r="C115" t="s">
        <v>14</v>
      </c>
      <c r="D115" t="s">
        <v>298</v>
      </c>
      <c r="E115" t="s">
        <v>235</v>
      </c>
      <c r="F115" t="s">
        <v>169</v>
      </c>
      <c r="H115" t="s">
        <v>12</v>
      </c>
      <c r="J115" t="str">
        <f>IF(ISNUMBER(SEARCH("Episode",A115:A718)),A115:A718,"")</f>
        <v>Episode 104 - Cat People (1982)</v>
      </c>
      <c r="M115" t="str">
        <f t="shared" si="1"/>
        <v>Cat People (1982)</v>
      </c>
      <c r="N115" s="2" t="s">
        <v>1006</v>
      </c>
      <c r="O115" t="s">
        <v>1402</v>
      </c>
      <c r="P115">
        <f>VLOOKUP(J115,A114:K716,6,TRUE)</f>
        <v>0</v>
      </c>
    </row>
    <row r="116" spans="1:16" x14ac:dyDescent="0.25">
      <c r="A116" t="s">
        <v>299</v>
      </c>
      <c r="B116" s="1">
        <v>41373</v>
      </c>
      <c r="C116" t="s">
        <v>108</v>
      </c>
      <c r="D116" s="1">
        <v>42586</v>
      </c>
      <c r="E116" t="s">
        <v>235</v>
      </c>
      <c r="F116" t="s">
        <v>172</v>
      </c>
      <c r="G116" t="s">
        <v>228</v>
      </c>
      <c r="H116" t="s">
        <v>12</v>
      </c>
      <c r="J116" t="str">
        <f>IF(ISNUMBER(SEARCH("Episode",A116:A719)),A116:A719,"")</f>
        <v>Episode 105 - Addicted to Love</v>
      </c>
      <c r="M116" t="str">
        <f t="shared" si="1"/>
        <v>Addicted to Love</v>
      </c>
      <c r="N116" s="2" t="s">
        <v>1007</v>
      </c>
      <c r="O116" t="s">
        <v>1403</v>
      </c>
      <c r="P116" t="str">
        <f>VLOOKUP(J116,A115:K717,6,TRUE)</f>
        <v>Episode 32</v>
      </c>
    </row>
    <row r="117" spans="1:16" x14ac:dyDescent="0.25">
      <c r="A117" t="s">
        <v>300</v>
      </c>
      <c r="B117" s="1">
        <v>41380</v>
      </c>
      <c r="C117" t="s">
        <v>14</v>
      </c>
      <c r="D117" t="s">
        <v>301</v>
      </c>
      <c r="E117" t="s">
        <v>235</v>
      </c>
      <c r="F117" t="s">
        <v>175</v>
      </c>
      <c r="H117" t="s">
        <v>12</v>
      </c>
      <c r="J117" t="str">
        <f>IF(ISNUMBER(SEARCH("Episode",A117:A720)),A117:A720,"")</f>
        <v>Episode 106 - Virtuosity</v>
      </c>
      <c r="M117" t="str">
        <f t="shared" si="1"/>
        <v>Virtuosity</v>
      </c>
      <c r="N117" s="2" t="s">
        <v>1008</v>
      </c>
      <c r="O117" t="s">
        <v>1404</v>
      </c>
      <c r="P117">
        <f>VLOOKUP(J117,A116:K718,6,TRUE)</f>
        <v>0</v>
      </c>
    </row>
    <row r="118" spans="1:16" x14ac:dyDescent="0.25">
      <c r="A118" t="s">
        <v>302</v>
      </c>
      <c r="B118" s="1">
        <v>41387</v>
      </c>
      <c r="C118" t="s">
        <v>14</v>
      </c>
      <c r="D118" t="s">
        <v>303</v>
      </c>
      <c r="E118" t="s">
        <v>235</v>
      </c>
      <c r="F118" t="s">
        <v>177</v>
      </c>
      <c r="H118" t="s">
        <v>12</v>
      </c>
      <c r="J118" t="str">
        <f>IF(ISNUMBER(SEARCH("Episode",A118:A721)),A118:A721,"")</f>
        <v>Episode 107 - Walking Tall (1973)</v>
      </c>
      <c r="M118" t="str">
        <f t="shared" si="1"/>
        <v>Walking Tall (1973)</v>
      </c>
      <c r="N118" s="2" t="s">
        <v>1009</v>
      </c>
      <c r="O118" t="s">
        <v>1405</v>
      </c>
      <c r="P118" t="str">
        <f>VLOOKUP(J118,A117:K719,6,TRUE)</f>
        <v>Episode 34</v>
      </c>
    </row>
    <row r="119" spans="1:16" x14ac:dyDescent="0.25">
      <c r="A119" t="s">
        <v>304</v>
      </c>
      <c r="B119" s="1">
        <v>41394</v>
      </c>
      <c r="C119" t="s">
        <v>14</v>
      </c>
      <c r="D119" t="s">
        <v>305</v>
      </c>
      <c r="E119" t="s">
        <v>235</v>
      </c>
      <c r="F119" t="s">
        <v>180</v>
      </c>
      <c r="H119" t="s">
        <v>12</v>
      </c>
      <c r="J119" t="str">
        <f>IF(ISNUMBER(SEARCH("Episode",A119:A722)),A119:A722,"")</f>
        <v>Episode 108 - The Mating Habits of the Earthbound Human</v>
      </c>
      <c r="M119" t="str">
        <f t="shared" si="1"/>
        <v>The Mating Habits of the Earthbound Human</v>
      </c>
      <c r="N119" s="2" t="s">
        <v>1010</v>
      </c>
      <c r="O119" t="s">
        <v>1406</v>
      </c>
      <c r="P119" t="str">
        <f>VLOOKUP(J119,A118:K720,6,TRUE)</f>
        <v>Episode 35</v>
      </c>
    </row>
    <row r="120" spans="1:16" x14ac:dyDescent="0.25">
      <c r="A120" t="s">
        <v>306</v>
      </c>
      <c r="B120" s="1">
        <v>41400</v>
      </c>
      <c r="C120" t="s">
        <v>108</v>
      </c>
      <c r="E120" t="s">
        <v>235</v>
      </c>
      <c r="F120" t="s">
        <v>183</v>
      </c>
      <c r="G120" t="s">
        <v>307</v>
      </c>
      <c r="H120" t="s">
        <v>12</v>
      </c>
      <c r="J120" t="str">
        <f>IF(ISNUMBER(SEARCH("Episode",A120:A723)),A120:A723,"")</f>
        <v>Episode 109 - The Boondock Saints II: All Saints Day</v>
      </c>
      <c r="M120" t="str">
        <f t="shared" si="1"/>
        <v>The Boondock Saints II: All Saints Day</v>
      </c>
      <c r="N120" s="2" t="s">
        <v>1011</v>
      </c>
      <c r="O120" t="s">
        <v>1407</v>
      </c>
      <c r="P120" t="str">
        <f>VLOOKUP(J120,A119:K721,6,TRUE)</f>
        <v>Episode 36</v>
      </c>
    </row>
    <row r="121" spans="1:16" x14ac:dyDescent="0.25">
      <c r="A121" t="s">
        <v>308</v>
      </c>
      <c r="B121" s="1">
        <v>41407</v>
      </c>
      <c r="C121" t="s">
        <v>108</v>
      </c>
      <c r="E121" t="s">
        <v>235</v>
      </c>
      <c r="F121" t="s">
        <v>186</v>
      </c>
      <c r="G121" t="s">
        <v>307</v>
      </c>
      <c r="H121" t="s">
        <v>12</v>
      </c>
      <c r="J121" t="str">
        <f>IF(ISNUMBER(SEARCH("Episode",A121:A724)),A121:A724,"")</f>
        <v>Episode 110 - Foodfight!</v>
      </c>
      <c r="M121" t="str">
        <f t="shared" si="1"/>
        <v>Foodfight!</v>
      </c>
      <c r="N121" s="2" t="s">
        <v>1012</v>
      </c>
      <c r="O121" t="s">
        <v>1408</v>
      </c>
      <c r="P121" t="str">
        <f>VLOOKUP(J121,A120:K722,6,TRUE)</f>
        <v>Episode 37</v>
      </c>
    </row>
    <row r="122" spans="1:16" x14ac:dyDescent="0.25">
      <c r="A122" t="s">
        <v>309</v>
      </c>
      <c r="B122" s="1">
        <v>41414</v>
      </c>
      <c r="C122" t="s">
        <v>108</v>
      </c>
      <c r="E122" t="s">
        <v>235</v>
      </c>
      <c r="F122" t="s">
        <v>188</v>
      </c>
      <c r="G122" t="s">
        <v>307</v>
      </c>
      <c r="H122" t="s">
        <v>12</v>
      </c>
      <c r="J122" t="str">
        <f>IF(ISNUMBER(SEARCH("Episode",A122:A725)),A122:A725,"")</f>
        <v>Episode 111 - Houseguest</v>
      </c>
      <c r="M122" t="str">
        <f t="shared" si="1"/>
        <v>Houseguest</v>
      </c>
      <c r="N122" s="2" t="s">
        <v>1013</v>
      </c>
      <c r="O122" t="s">
        <v>1409</v>
      </c>
      <c r="P122">
        <f>VLOOKUP(J122,A121:K723,6,TRUE)</f>
        <v>0</v>
      </c>
    </row>
    <row r="123" spans="1:16" x14ac:dyDescent="0.25">
      <c r="A123" t="s">
        <v>310</v>
      </c>
      <c r="B123" s="1">
        <v>41422</v>
      </c>
      <c r="C123" t="s">
        <v>108</v>
      </c>
      <c r="E123" t="s">
        <v>235</v>
      </c>
      <c r="F123" t="s">
        <v>191</v>
      </c>
      <c r="G123" t="s">
        <v>307</v>
      </c>
      <c r="H123" t="s">
        <v>12</v>
      </c>
      <c r="J123" t="str">
        <f>IF(ISNUMBER(SEARCH("Episode",A123:A726)),A123:A726,"")</f>
        <v>Episode 112 - Maniac Cop 3: Badge of Silence</v>
      </c>
      <c r="M123" t="str">
        <f t="shared" si="1"/>
        <v>Maniac Cop 3: Badge of Silence</v>
      </c>
      <c r="N123" s="2" t="s">
        <v>1014</v>
      </c>
      <c r="O123" t="s">
        <v>1410</v>
      </c>
      <c r="P123" t="str">
        <f>VLOOKUP(J123,A122:K724,6,TRUE)</f>
        <v>Episode 39</v>
      </c>
    </row>
    <row r="124" spans="1:16" x14ac:dyDescent="0.25">
      <c r="A124" t="s">
        <v>311</v>
      </c>
      <c r="B124" s="1">
        <v>41429</v>
      </c>
      <c r="C124" t="s">
        <v>108</v>
      </c>
      <c r="E124" t="s">
        <v>235</v>
      </c>
      <c r="F124" t="s">
        <v>194</v>
      </c>
      <c r="G124" t="s">
        <v>312</v>
      </c>
      <c r="H124" t="s">
        <v>12</v>
      </c>
      <c r="J124" t="str">
        <f>IF(ISNUMBER(SEARCH("Episode",A124:A727)),A124:A727,"")</f>
        <v>Episode 113 - Godzilla</v>
      </c>
      <c r="M124" t="str">
        <f t="shared" si="1"/>
        <v>Godzilla</v>
      </c>
      <c r="N124" s="2" t="s">
        <v>1015</v>
      </c>
      <c r="O124" t="s">
        <v>1411</v>
      </c>
      <c r="P124" t="str">
        <f>VLOOKUP(J124,A123:K725,6,TRUE)</f>
        <v>Episode 40</v>
      </c>
    </row>
    <row r="125" spans="1:16" x14ac:dyDescent="0.25">
      <c r="A125" t="s">
        <v>313</v>
      </c>
      <c r="B125" s="1">
        <v>41436</v>
      </c>
      <c r="C125" t="s">
        <v>108</v>
      </c>
      <c r="E125" t="s">
        <v>235</v>
      </c>
      <c r="F125" t="s">
        <v>198</v>
      </c>
      <c r="G125" t="s">
        <v>312</v>
      </c>
      <c r="H125" t="s">
        <v>12</v>
      </c>
      <c r="J125" t="str">
        <f>IF(ISNUMBER(SEARCH("Episode",A125:A728)),A125:A728,"")</f>
        <v>Episode 114 - Steel</v>
      </c>
      <c r="M125" t="str">
        <f t="shared" si="1"/>
        <v>Steel</v>
      </c>
      <c r="N125" s="2" t="s">
        <v>1016</v>
      </c>
      <c r="O125" t="s">
        <v>1412</v>
      </c>
      <c r="P125">
        <f>VLOOKUP(J125,A124:K726,6,TRUE)</f>
        <v>0</v>
      </c>
    </row>
    <row r="126" spans="1:16" x14ac:dyDescent="0.25">
      <c r="A126" t="s">
        <v>314</v>
      </c>
      <c r="B126" s="1">
        <v>41443</v>
      </c>
      <c r="C126" t="s">
        <v>108</v>
      </c>
      <c r="E126" t="s">
        <v>235</v>
      </c>
      <c r="F126" t="s">
        <v>201</v>
      </c>
      <c r="G126" t="s">
        <v>312</v>
      </c>
      <c r="H126" t="s">
        <v>12</v>
      </c>
      <c r="J126" t="str">
        <f>IF(ISNUMBER(SEARCH("Episode",A126:A729)),A126:A729,"")</f>
        <v>Episode 115 - Bad Boys II</v>
      </c>
      <c r="M126" t="str">
        <f t="shared" si="1"/>
        <v>Bad Boys II</v>
      </c>
      <c r="N126" s="2" t="s">
        <v>1017</v>
      </c>
      <c r="O126" t="s">
        <v>1413</v>
      </c>
      <c r="P126" t="str">
        <f>VLOOKUP(J126,A125:K727,6,TRUE)</f>
        <v>Episode 42</v>
      </c>
    </row>
    <row r="127" spans="1:16" x14ac:dyDescent="0.25">
      <c r="A127" t="s">
        <v>315</v>
      </c>
      <c r="B127" s="1">
        <v>41450</v>
      </c>
      <c r="C127" t="s">
        <v>108</v>
      </c>
      <c r="E127" t="s">
        <v>235</v>
      </c>
      <c r="F127" t="s">
        <v>204</v>
      </c>
      <c r="G127" t="s">
        <v>312</v>
      </c>
      <c r="H127" t="s">
        <v>12</v>
      </c>
      <c r="J127" t="str">
        <f>IF(ISNUMBER(SEARCH("Episode",A127:A730)),A127:A730,"")</f>
        <v>Episode 116 - Jaws 3D</v>
      </c>
      <c r="M127" t="str">
        <f t="shared" si="1"/>
        <v>Jaws 3D</v>
      </c>
      <c r="N127" s="2" t="s">
        <v>1018</v>
      </c>
      <c r="O127" t="s">
        <v>1414</v>
      </c>
      <c r="P127">
        <f>VLOOKUP(J127,A126:K728,6,TRUE)</f>
        <v>0</v>
      </c>
    </row>
    <row r="128" spans="1:16" x14ac:dyDescent="0.25">
      <c r="A128" t="s">
        <v>316</v>
      </c>
      <c r="B128" s="1">
        <v>41457</v>
      </c>
      <c r="C128" t="s">
        <v>108</v>
      </c>
      <c r="E128" t="s">
        <v>235</v>
      </c>
      <c r="F128" t="s">
        <v>207</v>
      </c>
      <c r="G128" t="s">
        <v>312</v>
      </c>
      <c r="H128" t="s">
        <v>12</v>
      </c>
      <c r="J128" t="str">
        <f>IF(ISNUMBER(SEARCH("Episode",A128:A731)),A128:A731,"")</f>
        <v>Episode 117 - S.W.A.T.</v>
      </c>
      <c r="M128" t="str">
        <f t="shared" si="1"/>
        <v>S.W.A.T.</v>
      </c>
      <c r="N128" s="2" t="s">
        <v>1019</v>
      </c>
      <c r="O128" t="s">
        <v>1415</v>
      </c>
      <c r="P128" t="str">
        <f>VLOOKUP(J128,A127:K729,6,TRUE)</f>
        <v>Episode 44</v>
      </c>
    </row>
    <row r="129" spans="1:16" x14ac:dyDescent="0.25">
      <c r="A129" t="s">
        <v>317</v>
      </c>
      <c r="B129" s="1">
        <v>41462</v>
      </c>
      <c r="C129" t="s">
        <v>14</v>
      </c>
      <c r="D129" t="s">
        <v>318</v>
      </c>
      <c r="E129" t="s">
        <v>235</v>
      </c>
      <c r="G129" t="s">
        <v>319</v>
      </c>
      <c r="H129" t="s">
        <v>34</v>
      </c>
      <c r="J129" t="str">
        <f>IF(ISNUMBER(SEARCH("Episode",A129:A732)),A129:A732,"")</f>
        <v/>
      </c>
      <c r="M129" t="str">
        <f t="shared" si="1"/>
        <v/>
      </c>
      <c r="N129" s="2" t="s">
        <v>1020</v>
      </c>
      <c r="O129" t="s">
        <v>1416</v>
      </c>
      <c r="P129" t="e">
        <f>VLOOKUP(J129,A128:K730,6,TRUE)</f>
        <v>#N/A</v>
      </c>
    </row>
    <row r="130" spans="1:16" x14ac:dyDescent="0.25">
      <c r="A130" t="s">
        <v>320</v>
      </c>
      <c r="B130" s="1">
        <v>41463</v>
      </c>
      <c r="C130" t="s">
        <v>14</v>
      </c>
      <c r="D130" t="s">
        <v>321</v>
      </c>
      <c r="E130" t="s">
        <v>235</v>
      </c>
      <c r="G130" t="s">
        <v>322</v>
      </c>
      <c r="H130" t="s">
        <v>34</v>
      </c>
      <c r="J130" t="str">
        <f>IF(ISNUMBER(SEARCH("Episode",A130:A733)),A130:A733,"")</f>
        <v/>
      </c>
      <c r="M130" t="str">
        <f t="shared" si="1"/>
        <v/>
      </c>
      <c r="N130" s="2" t="s">
        <v>1021</v>
      </c>
      <c r="O130" t="s">
        <v>1417</v>
      </c>
      <c r="P130" t="e">
        <f>VLOOKUP(J130,A129:K731,6,TRUE)</f>
        <v>#N/A</v>
      </c>
    </row>
    <row r="131" spans="1:16" x14ac:dyDescent="0.25">
      <c r="A131" t="s">
        <v>323</v>
      </c>
      <c r="B131" s="1">
        <v>41464</v>
      </c>
      <c r="C131" t="s">
        <v>108</v>
      </c>
      <c r="E131" t="s">
        <v>235</v>
      </c>
      <c r="F131" t="s">
        <v>210</v>
      </c>
      <c r="G131" t="s">
        <v>312</v>
      </c>
      <c r="H131" t="s">
        <v>12</v>
      </c>
      <c r="J131" t="str">
        <f>IF(ISNUMBER(SEARCH("Episode",A131:A734)),A131:A734,"")</f>
        <v>Episode 118 - The Running Man</v>
      </c>
      <c r="M131" t="str">
        <f t="shared" ref="M131:M194" si="2">REPLACE(J131,1,14,"")</f>
        <v>The Running Man</v>
      </c>
      <c r="N131" s="2" t="s">
        <v>1022</v>
      </c>
      <c r="O131" t="s">
        <v>1418</v>
      </c>
      <c r="P131" t="str">
        <f>VLOOKUP(J131,A130:K732,6,TRUE)</f>
        <v>Episode 45</v>
      </c>
    </row>
    <row r="132" spans="1:16" x14ac:dyDescent="0.25">
      <c r="A132" t="s">
        <v>324</v>
      </c>
      <c r="B132" s="1">
        <v>41465</v>
      </c>
      <c r="C132" t="s">
        <v>14</v>
      </c>
      <c r="D132" t="s">
        <v>325</v>
      </c>
      <c r="E132" t="s">
        <v>235</v>
      </c>
      <c r="G132" t="s">
        <v>319</v>
      </c>
      <c r="H132" t="s">
        <v>34</v>
      </c>
      <c r="J132" t="str">
        <f>IF(ISNUMBER(SEARCH("Episode",A132:A735)),A132:A735,"")</f>
        <v/>
      </c>
      <c r="M132" t="str">
        <f t="shared" si="2"/>
        <v/>
      </c>
      <c r="N132" s="2" t="s">
        <v>1023</v>
      </c>
      <c r="O132" t="s">
        <v>1419</v>
      </c>
      <c r="P132" t="e">
        <f>VLOOKUP(J132,A131:K733,6,TRUE)</f>
        <v>#N/A</v>
      </c>
    </row>
    <row r="133" spans="1:16" x14ac:dyDescent="0.25">
      <c r="A133" t="s">
        <v>326</v>
      </c>
      <c r="B133" s="1">
        <v>41471</v>
      </c>
      <c r="C133" t="s">
        <v>108</v>
      </c>
      <c r="E133" t="s">
        <v>235</v>
      </c>
      <c r="F133" t="s">
        <v>213</v>
      </c>
      <c r="G133" t="s">
        <v>312</v>
      </c>
      <c r="H133" t="s">
        <v>12</v>
      </c>
      <c r="J133" t="str">
        <f>IF(ISNUMBER(SEARCH("Episode",A133:A736)),A133:A736,"")</f>
        <v>Episode 119 - Volcano</v>
      </c>
      <c r="M133" t="str">
        <f t="shared" si="2"/>
        <v>Volcano</v>
      </c>
      <c r="N133" s="2" t="s">
        <v>1024</v>
      </c>
      <c r="O133" t="s">
        <v>1420</v>
      </c>
      <c r="P133" t="str">
        <f>VLOOKUP(J133,A132:K734,6,TRUE)</f>
        <v>Episode 46</v>
      </c>
    </row>
    <row r="134" spans="1:16" x14ac:dyDescent="0.25">
      <c r="A134" t="s">
        <v>327</v>
      </c>
      <c r="B134" s="1">
        <v>41473</v>
      </c>
      <c r="C134" t="s">
        <v>14</v>
      </c>
      <c r="D134" t="s">
        <v>328</v>
      </c>
      <c r="E134" t="s">
        <v>235</v>
      </c>
      <c r="G134" t="s">
        <v>322</v>
      </c>
      <c r="H134" t="s">
        <v>34</v>
      </c>
      <c r="J134" t="str">
        <f>IF(ISNUMBER(SEARCH("Episode",A134:A737)),A134:A737,"")</f>
        <v/>
      </c>
      <c r="M134" t="str">
        <f t="shared" si="2"/>
        <v/>
      </c>
      <c r="N134" s="2" t="s">
        <v>1025</v>
      </c>
      <c r="O134" t="s">
        <v>1421</v>
      </c>
      <c r="P134" t="e">
        <f>VLOOKUP(J134,A133:K735,6,TRUE)</f>
        <v>#N/A</v>
      </c>
    </row>
    <row r="135" spans="1:16" x14ac:dyDescent="0.25">
      <c r="A135" t="s">
        <v>329</v>
      </c>
      <c r="B135" s="1">
        <v>41478</v>
      </c>
      <c r="C135" t="s">
        <v>108</v>
      </c>
      <c r="E135" t="s">
        <v>235</v>
      </c>
      <c r="F135" t="s">
        <v>216</v>
      </c>
      <c r="G135" t="s">
        <v>312</v>
      </c>
      <c r="H135" t="s">
        <v>12</v>
      </c>
      <c r="J135" t="str">
        <f>IF(ISNUMBER(SEARCH("Episode",A135:A738)),A135:A738,"")</f>
        <v>Episode 120 - She's All That</v>
      </c>
      <c r="M135" t="str">
        <f t="shared" si="2"/>
        <v>She's All That</v>
      </c>
      <c r="N135" s="2" t="s">
        <v>1026</v>
      </c>
      <c r="O135" t="s">
        <v>1422</v>
      </c>
      <c r="P135" t="str">
        <f>VLOOKUP(J135,A134:K736,6,TRUE)</f>
        <v>Episode 47</v>
      </c>
    </row>
    <row r="136" spans="1:16" x14ac:dyDescent="0.25">
      <c r="A136" t="s">
        <v>330</v>
      </c>
      <c r="B136" s="1">
        <v>41485</v>
      </c>
      <c r="C136" t="s">
        <v>108</v>
      </c>
      <c r="E136" t="s">
        <v>235</v>
      </c>
      <c r="F136" t="s">
        <v>219</v>
      </c>
      <c r="G136" t="s">
        <v>312</v>
      </c>
      <c r="H136" t="s">
        <v>12</v>
      </c>
      <c r="J136" t="str">
        <f>IF(ISNUMBER(SEARCH("Episode",A136:A739)),A136:A739,"")</f>
        <v>Episode 121 - Grown Ups 2</v>
      </c>
      <c r="M136" t="str">
        <f t="shared" si="2"/>
        <v>Grown Ups 2</v>
      </c>
      <c r="N136" s="2" t="s">
        <v>1027</v>
      </c>
      <c r="O136" t="s">
        <v>1423</v>
      </c>
      <c r="P136">
        <f>VLOOKUP(J136,A135:K737,6,TRUE)</f>
        <v>0</v>
      </c>
    </row>
    <row r="137" spans="1:16" x14ac:dyDescent="0.25">
      <c r="A137" t="s">
        <v>331</v>
      </c>
      <c r="B137" s="1">
        <v>41491</v>
      </c>
      <c r="C137" t="s">
        <v>14</v>
      </c>
      <c r="D137" t="s">
        <v>332</v>
      </c>
      <c r="E137" t="s">
        <v>235</v>
      </c>
      <c r="G137" t="s">
        <v>322</v>
      </c>
      <c r="H137" t="s">
        <v>34</v>
      </c>
      <c r="J137" t="str">
        <f>IF(ISNUMBER(SEARCH("Episode",A137:A740)),A137:A740,"")</f>
        <v/>
      </c>
      <c r="M137" t="str">
        <f t="shared" si="2"/>
        <v/>
      </c>
      <c r="N137" s="2" t="s">
        <v>1028</v>
      </c>
      <c r="O137" t="s">
        <v>1424</v>
      </c>
      <c r="P137" t="e">
        <f>VLOOKUP(J137,A136:K738,6,TRUE)</f>
        <v>#N/A</v>
      </c>
    </row>
    <row r="138" spans="1:16" x14ac:dyDescent="0.25">
      <c r="A138" t="s">
        <v>333</v>
      </c>
      <c r="B138" s="1">
        <v>41493</v>
      </c>
      <c r="C138" t="s">
        <v>108</v>
      </c>
      <c r="E138" t="s">
        <v>235</v>
      </c>
      <c r="H138" t="s">
        <v>241</v>
      </c>
      <c r="J138" t="str">
        <f>IF(ISNUMBER(SEARCH("Episode",A138:A741)),A138:A741,"")</f>
        <v/>
      </c>
      <c r="M138" t="str">
        <f t="shared" si="2"/>
        <v/>
      </c>
      <c r="N138" s="2" t="s">
        <v>1029</v>
      </c>
      <c r="O138" t="s">
        <v>1425</v>
      </c>
      <c r="P138" t="e">
        <f>VLOOKUP(J138,A137:K739,6,TRUE)</f>
        <v>#N/A</v>
      </c>
    </row>
    <row r="139" spans="1:16" x14ac:dyDescent="0.25">
      <c r="A139" t="s">
        <v>334</v>
      </c>
      <c r="B139" s="1">
        <v>41497</v>
      </c>
      <c r="C139" t="s">
        <v>14</v>
      </c>
      <c r="D139" t="s">
        <v>335</v>
      </c>
      <c r="E139" t="s">
        <v>235</v>
      </c>
      <c r="F139" t="s">
        <v>222</v>
      </c>
      <c r="G139" t="s">
        <v>336</v>
      </c>
      <c r="H139" t="s">
        <v>82</v>
      </c>
      <c r="J139" t="str">
        <f>IF(ISNUMBER(SEARCH("Episode",A139:A742)),A139:A742,"")</f>
        <v/>
      </c>
      <c r="M139" t="str">
        <f t="shared" si="2"/>
        <v/>
      </c>
      <c r="N139" s="2" t="s">
        <v>1030</v>
      </c>
      <c r="O139" t="s">
        <v>1426</v>
      </c>
      <c r="P139" t="e">
        <f>VLOOKUP(J139,A138:K740,6,TRUE)</f>
        <v>#N/A</v>
      </c>
    </row>
    <row r="140" spans="1:16" x14ac:dyDescent="0.25">
      <c r="A140" t="s">
        <v>337</v>
      </c>
      <c r="B140" s="1">
        <v>41505</v>
      </c>
      <c r="C140" t="s">
        <v>14</v>
      </c>
      <c r="D140" t="s">
        <v>338</v>
      </c>
      <c r="E140" t="s">
        <v>235</v>
      </c>
      <c r="G140" t="s">
        <v>322</v>
      </c>
      <c r="H140" t="s">
        <v>62</v>
      </c>
      <c r="J140" t="str">
        <f>IF(ISNUMBER(SEARCH("Episode",A140:A743)),A140:A743,"")</f>
        <v/>
      </c>
      <c r="M140" t="str">
        <f t="shared" si="2"/>
        <v/>
      </c>
      <c r="N140" s="2" t="s">
        <v>1031</v>
      </c>
      <c r="O140" t="s">
        <v>1427</v>
      </c>
      <c r="P140" t="e">
        <f>VLOOKUP(J140,A139:K741,6,TRUE)</f>
        <v>#N/A</v>
      </c>
    </row>
    <row r="141" spans="1:16" x14ac:dyDescent="0.25">
      <c r="A141" t="s">
        <v>339</v>
      </c>
      <c r="B141" s="1">
        <v>41516</v>
      </c>
      <c r="C141" t="s">
        <v>14</v>
      </c>
      <c r="D141" t="s">
        <v>340</v>
      </c>
      <c r="E141" t="s">
        <v>235</v>
      </c>
      <c r="G141" t="s">
        <v>319</v>
      </c>
      <c r="H141" t="s">
        <v>34</v>
      </c>
      <c r="J141" t="str">
        <f>IF(ISNUMBER(SEARCH("Episode",A141:A744)),A141:A744,"")</f>
        <v/>
      </c>
      <c r="M141" t="str">
        <f t="shared" si="2"/>
        <v/>
      </c>
      <c r="N141" s="2" t="s">
        <v>1032</v>
      </c>
      <c r="O141" t="s">
        <v>1428</v>
      </c>
      <c r="P141" t="e">
        <f>VLOOKUP(J141,A140:K742,6,TRUE)</f>
        <v>#N/A</v>
      </c>
    </row>
    <row r="142" spans="1:16" x14ac:dyDescent="0.25">
      <c r="A142" t="s">
        <v>341</v>
      </c>
      <c r="B142" s="1">
        <v>41527</v>
      </c>
      <c r="C142" t="s">
        <v>108</v>
      </c>
      <c r="E142" t="s">
        <v>342</v>
      </c>
      <c r="F142" t="s">
        <v>11</v>
      </c>
      <c r="G142" t="s">
        <v>343</v>
      </c>
      <c r="H142" t="s">
        <v>12</v>
      </c>
      <c r="J142" t="str">
        <f>IF(ISNUMBER(SEARCH("Episode",A142:A745)),A142:A745,"")</f>
        <v>Episode 122 - Only the Strong</v>
      </c>
      <c r="M142" t="str">
        <f t="shared" si="2"/>
        <v>Only the Strong</v>
      </c>
      <c r="N142" s="2" t="s">
        <v>1033</v>
      </c>
      <c r="O142" t="s">
        <v>1429</v>
      </c>
      <c r="P142">
        <f>VLOOKUP(J142,A141:K743,6,TRUE)</f>
        <v>0</v>
      </c>
    </row>
    <row r="143" spans="1:16" x14ac:dyDescent="0.25">
      <c r="A143" t="s">
        <v>344</v>
      </c>
      <c r="B143" s="1">
        <v>41530</v>
      </c>
      <c r="C143" t="s">
        <v>108</v>
      </c>
      <c r="E143" t="s">
        <v>342</v>
      </c>
      <c r="G143" t="s">
        <v>343</v>
      </c>
      <c r="H143" t="s">
        <v>34</v>
      </c>
      <c r="J143" t="str">
        <f>IF(ISNUMBER(SEARCH("Episode",A143:A746)),A143:A746,"")</f>
        <v/>
      </c>
      <c r="M143" t="str">
        <f t="shared" si="2"/>
        <v/>
      </c>
      <c r="N143" s="2" t="s">
        <v>1034</v>
      </c>
      <c r="O143" t="s">
        <v>1430</v>
      </c>
      <c r="P143" t="e">
        <f>VLOOKUP(J143,A142:K744,6,TRUE)</f>
        <v>#N/A</v>
      </c>
    </row>
    <row r="144" spans="1:16" x14ac:dyDescent="0.25">
      <c r="A144" t="s">
        <v>345</v>
      </c>
      <c r="B144" s="1">
        <v>41534</v>
      </c>
      <c r="C144" t="s">
        <v>108</v>
      </c>
      <c r="E144" t="s">
        <v>342</v>
      </c>
      <c r="F144" t="s">
        <v>16</v>
      </c>
      <c r="G144" t="s">
        <v>346</v>
      </c>
      <c r="H144" t="s">
        <v>12</v>
      </c>
      <c r="J144" t="str">
        <f>IF(ISNUMBER(SEARCH("Episode",A144:A747)),A144:A747,"")</f>
        <v>Episode 123 - Cliffhanger (Live)</v>
      </c>
      <c r="M144" t="str">
        <f t="shared" si="2"/>
        <v>Cliffhanger (Live)</v>
      </c>
      <c r="N144" s="2" t="s">
        <v>1035</v>
      </c>
      <c r="O144" t="s">
        <v>1431</v>
      </c>
      <c r="P144">
        <f>VLOOKUP(J144,A143:K745,6,TRUE)</f>
        <v>0</v>
      </c>
    </row>
    <row r="145" spans="1:16" x14ac:dyDescent="0.25">
      <c r="A145" t="s">
        <v>347</v>
      </c>
      <c r="B145" s="1">
        <v>41541</v>
      </c>
      <c r="C145" t="s">
        <v>108</v>
      </c>
      <c r="E145" t="s">
        <v>342</v>
      </c>
      <c r="G145" t="s">
        <v>343</v>
      </c>
      <c r="H145" t="s">
        <v>62</v>
      </c>
      <c r="J145" t="str">
        <f>IF(ISNUMBER(SEARCH("Episode",A145:A748)),A145:A748,"")</f>
        <v/>
      </c>
      <c r="M145" t="str">
        <f t="shared" si="2"/>
        <v/>
      </c>
      <c r="N145" s="2" t="s">
        <v>1036</v>
      </c>
      <c r="O145" t="s">
        <v>1432</v>
      </c>
      <c r="P145" t="e">
        <f>VLOOKUP(J145,A144:K746,6,TRUE)</f>
        <v>#N/A</v>
      </c>
    </row>
    <row r="146" spans="1:16" x14ac:dyDescent="0.25">
      <c r="A146" t="s">
        <v>348</v>
      </c>
      <c r="B146" s="1">
        <v>41548</v>
      </c>
      <c r="C146" t="s">
        <v>108</v>
      </c>
      <c r="E146" t="s">
        <v>342</v>
      </c>
      <c r="F146" t="s">
        <v>19</v>
      </c>
      <c r="G146" t="s">
        <v>349</v>
      </c>
      <c r="H146" t="s">
        <v>12</v>
      </c>
      <c r="J146" t="str">
        <f>IF(ISNUMBER(SEARCH("Episode",A146:A749)),A146:A749,"")</f>
        <v>Episode 124 - New Nightmare</v>
      </c>
      <c r="M146" t="str">
        <f t="shared" si="2"/>
        <v>New Nightmare</v>
      </c>
      <c r="N146" s="2" t="s">
        <v>1037</v>
      </c>
      <c r="O146" t="s">
        <v>1433</v>
      </c>
      <c r="P146">
        <f>VLOOKUP(J146,A145:K747,6,TRUE)</f>
        <v>0</v>
      </c>
    </row>
    <row r="147" spans="1:16" x14ac:dyDescent="0.25">
      <c r="A147" t="s">
        <v>350</v>
      </c>
      <c r="B147" s="1">
        <v>41550</v>
      </c>
      <c r="C147" t="s">
        <v>14</v>
      </c>
      <c r="D147" t="s">
        <v>351</v>
      </c>
      <c r="E147" t="s">
        <v>342</v>
      </c>
      <c r="G147" t="s">
        <v>319</v>
      </c>
      <c r="H147" t="s">
        <v>34</v>
      </c>
      <c r="J147" t="str">
        <f>IF(ISNUMBER(SEARCH("Episode",A147:A750)),A147:A750,"")</f>
        <v/>
      </c>
      <c r="M147" t="str">
        <f t="shared" si="2"/>
        <v/>
      </c>
      <c r="N147" s="2" t="s">
        <v>1038</v>
      </c>
      <c r="O147" t="s">
        <v>1434</v>
      </c>
      <c r="P147" t="e">
        <f>VLOOKUP(J147,A146:K748,6,TRUE)</f>
        <v>#N/A</v>
      </c>
    </row>
    <row r="148" spans="1:16" x14ac:dyDescent="0.25">
      <c r="A148" t="s">
        <v>352</v>
      </c>
      <c r="B148" s="1">
        <v>41555</v>
      </c>
      <c r="C148" t="s">
        <v>108</v>
      </c>
      <c r="E148" t="s">
        <v>342</v>
      </c>
      <c r="F148" t="s">
        <v>22</v>
      </c>
      <c r="G148" t="s">
        <v>349</v>
      </c>
      <c r="H148" t="s">
        <v>12</v>
      </c>
      <c r="J148" t="str">
        <f>IF(ISNUMBER(SEARCH("Episode",A148:A751)),A148:A751,"")</f>
        <v>Episode 125 - Body Parts</v>
      </c>
      <c r="M148" t="str">
        <f t="shared" si="2"/>
        <v>Body Parts</v>
      </c>
      <c r="N148" s="2" t="s">
        <v>1039</v>
      </c>
      <c r="O148" t="s">
        <v>1435</v>
      </c>
      <c r="P148">
        <f>VLOOKUP(J148,A147:K749,6,TRUE)</f>
        <v>0</v>
      </c>
    </row>
    <row r="149" spans="1:16" x14ac:dyDescent="0.25">
      <c r="A149" t="s">
        <v>353</v>
      </c>
      <c r="B149" s="1">
        <v>41561</v>
      </c>
      <c r="C149" t="s">
        <v>108</v>
      </c>
      <c r="E149" t="s">
        <v>342</v>
      </c>
      <c r="F149" t="s">
        <v>25</v>
      </c>
      <c r="G149" t="s">
        <v>349</v>
      </c>
      <c r="H149" t="s">
        <v>12</v>
      </c>
      <c r="J149" t="str">
        <f>IF(ISNUMBER(SEARCH("Episode",A149:A752)),A149:A752,"")</f>
        <v>Episode 126 - Cat's Eye</v>
      </c>
      <c r="M149" t="str">
        <f t="shared" si="2"/>
        <v>Cat's Eye</v>
      </c>
      <c r="N149" s="2" t="s">
        <v>1040</v>
      </c>
      <c r="O149" t="s">
        <v>1436</v>
      </c>
      <c r="P149" t="str">
        <f>VLOOKUP(J149,A148:K750,6,TRUE)</f>
        <v>Episode 5</v>
      </c>
    </row>
    <row r="150" spans="1:16" x14ac:dyDescent="0.25">
      <c r="A150" t="s">
        <v>354</v>
      </c>
      <c r="B150" s="1">
        <v>41568</v>
      </c>
      <c r="C150" t="s">
        <v>108</v>
      </c>
      <c r="E150" t="s">
        <v>342</v>
      </c>
      <c r="F150" t="s">
        <v>28</v>
      </c>
      <c r="G150" t="s">
        <v>349</v>
      </c>
      <c r="H150" t="s">
        <v>12</v>
      </c>
      <c r="J150" t="str">
        <f>IF(ISNUMBER(SEARCH("Episode",A150:A753)),A150:A753,"")</f>
        <v>Episode 127 - Chopping Mall</v>
      </c>
      <c r="M150" t="str">
        <f t="shared" si="2"/>
        <v>Chopping Mall</v>
      </c>
      <c r="N150" s="2" t="s">
        <v>1041</v>
      </c>
      <c r="O150" t="s">
        <v>1437</v>
      </c>
      <c r="P150">
        <f>VLOOKUP(J150,A149:K751,6,TRUE)</f>
        <v>0</v>
      </c>
    </row>
    <row r="151" spans="1:16" x14ac:dyDescent="0.25">
      <c r="A151" t="s">
        <v>355</v>
      </c>
      <c r="B151" s="1">
        <v>41575</v>
      </c>
      <c r="C151" t="s">
        <v>108</v>
      </c>
      <c r="E151" t="s">
        <v>342</v>
      </c>
      <c r="F151" t="s">
        <v>31</v>
      </c>
      <c r="G151" t="s">
        <v>349</v>
      </c>
      <c r="H151" t="s">
        <v>12</v>
      </c>
      <c r="J151" t="str">
        <f>IF(ISNUMBER(SEARCH("Episode",A151:A754)),A151:A754,"")</f>
        <v>Episode 128 - Casper</v>
      </c>
      <c r="M151" t="str">
        <f t="shared" si="2"/>
        <v>Casper</v>
      </c>
      <c r="N151" s="2" t="s">
        <v>1042</v>
      </c>
      <c r="O151" t="s">
        <v>1438</v>
      </c>
      <c r="P151" t="str">
        <f>VLOOKUP(J151,A150:K752,6,TRUE)</f>
        <v>Episode 7</v>
      </c>
    </row>
    <row r="152" spans="1:16" x14ac:dyDescent="0.25">
      <c r="A152" t="s">
        <v>356</v>
      </c>
      <c r="B152" s="1">
        <v>41576</v>
      </c>
      <c r="C152" t="s">
        <v>14</v>
      </c>
      <c r="D152" t="s">
        <v>357</v>
      </c>
      <c r="E152" t="s">
        <v>342</v>
      </c>
      <c r="G152" t="s">
        <v>358</v>
      </c>
      <c r="H152" t="s">
        <v>34</v>
      </c>
      <c r="J152" t="str">
        <f>IF(ISNUMBER(SEARCH("Episode",A152:A755)),A152:A755,"")</f>
        <v/>
      </c>
      <c r="M152" t="str">
        <f t="shared" si="2"/>
        <v/>
      </c>
      <c r="N152" s="2" t="s">
        <v>1043</v>
      </c>
      <c r="O152" t="s">
        <v>1439</v>
      </c>
      <c r="P152" t="e">
        <f>VLOOKUP(J152,A151:K753,6,TRUE)</f>
        <v>#N/A</v>
      </c>
    </row>
    <row r="153" spans="1:16" x14ac:dyDescent="0.25">
      <c r="A153" t="s">
        <v>359</v>
      </c>
      <c r="B153" s="1">
        <v>41579</v>
      </c>
      <c r="C153" t="s">
        <v>108</v>
      </c>
      <c r="E153" t="s">
        <v>342</v>
      </c>
      <c r="F153" t="s">
        <v>37</v>
      </c>
      <c r="G153" t="s">
        <v>360</v>
      </c>
      <c r="H153" t="s">
        <v>12</v>
      </c>
      <c r="J153" t="str">
        <f>IF(ISNUMBER(SEARCH("Episode",A153:A756)),A153:A756,"")</f>
        <v>Episode 129 - Scream 3 (Live)</v>
      </c>
      <c r="M153" t="str">
        <f t="shared" si="2"/>
        <v>Scream 3 (Live)</v>
      </c>
      <c r="N153" s="2" t="s">
        <v>1044</v>
      </c>
      <c r="O153" t="s">
        <v>1440</v>
      </c>
      <c r="P153">
        <f>VLOOKUP(J153,A152:K754,6,TRUE)</f>
        <v>0</v>
      </c>
    </row>
    <row r="154" spans="1:16" x14ac:dyDescent="0.25">
      <c r="A154" t="s">
        <v>361</v>
      </c>
      <c r="B154" s="1">
        <v>41582</v>
      </c>
      <c r="C154" t="s">
        <v>108</v>
      </c>
      <c r="E154" t="s">
        <v>342</v>
      </c>
      <c r="F154" t="s">
        <v>40</v>
      </c>
      <c r="G154" t="s">
        <v>362</v>
      </c>
      <c r="H154" t="s">
        <v>12</v>
      </c>
      <c r="J154" t="str">
        <f>IF(ISNUMBER(SEARCH("Episode",A154:A757)),A154:A757,"")</f>
        <v>Episode 130 - Stay Tuned</v>
      </c>
      <c r="M154" t="str">
        <f t="shared" si="2"/>
        <v>Stay Tuned</v>
      </c>
      <c r="N154" s="2" t="s">
        <v>1045</v>
      </c>
      <c r="O154" t="s">
        <v>1441</v>
      </c>
      <c r="P154" t="str">
        <f>VLOOKUP(J154,A153:K755,6,TRUE)</f>
        <v>Episode 9</v>
      </c>
    </row>
    <row r="155" spans="1:16" x14ac:dyDescent="0.25">
      <c r="A155" t="s">
        <v>363</v>
      </c>
      <c r="B155" s="1">
        <v>41590</v>
      </c>
      <c r="C155" t="s">
        <v>108</v>
      </c>
      <c r="E155" t="s">
        <v>342</v>
      </c>
      <c r="F155" t="s">
        <v>43</v>
      </c>
      <c r="G155" t="s">
        <v>362</v>
      </c>
      <c r="H155" t="s">
        <v>12</v>
      </c>
      <c r="J155" t="str">
        <f>IF(ISNUMBER(SEARCH("Episode",A155:A758)),A155:A758,"")</f>
        <v>Episode 131 - Deep Blue Sea</v>
      </c>
      <c r="M155" t="str">
        <f t="shared" si="2"/>
        <v>Deep Blue Sea</v>
      </c>
      <c r="N155" s="2" t="s">
        <v>1046</v>
      </c>
      <c r="O155" t="s">
        <v>1442</v>
      </c>
      <c r="P155" t="str">
        <f>VLOOKUP(J155,A154:K756,6,TRUE)</f>
        <v>Episode 10</v>
      </c>
    </row>
    <row r="156" spans="1:16" x14ac:dyDescent="0.25">
      <c r="A156" t="s">
        <v>364</v>
      </c>
      <c r="B156" s="1">
        <v>41596</v>
      </c>
      <c r="C156" t="s">
        <v>108</v>
      </c>
      <c r="E156" t="s">
        <v>342</v>
      </c>
      <c r="F156" t="s">
        <v>46</v>
      </c>
      <c r="G156" t="s">
        <v>362</v>
      </c>
      <c r="H156" t="s">
        <v>12</v>
      </c>
      <c r="J156" t="str">
        <f>IF(ISNUMBER(SEARCH("Episode",A156:A759)),A156:A759,"")</f>
        <v>Episode 132 - China O'Brien</v>
      </c>
      <c r="M156" t="str">
        <f t="shared" si="2"/>
        <v>China O'Brien</v>
      </c>
      <c r="N156" s="2" t="s">
        <v>1047</v>
      </c>
      <c r="O156" t="s">
        <v>1443</v>
      </c>
      <c r="P156" t="str">
        <f>VLOOKUP(J156,A155:K757,6,TRUE)</f>
        <v>Episode 11</v>
      </c>
    </row>
    <row r="157" spans="1:16" x14ac:dyDescent="0.25">
      <c r="A157" t="s">
        <v>365</v>
      </c>
      <c r="B157" s="1">
        <v>41603</v>
      </c>
      <c r="C157" t="s">
        <v>108</v>
      </c>
      <c r="E157" t="s">
        <v>342</v>
      </c>
      <c r="F157" t="s">
        <v>49</v>
      </c>
      <c r="G157" t="s">
        <v>362</v>
      </c>
      <c r="H157" t="s">
        <v>12</v>
      </c>
      <c r="J157" t="str">
        <f>IF(ISNUMBER(SEARCH("Episode",A157:A760)),A157:A760,"")</f>
        <v>Episode 133 - Copycat</v>
      </c>
      <c r="M157" t="str">
        <f t="shared" si="2"/>
        <v>Copycat</v>
      </c>
      <c r="N157" s="2" t="s">
        <v>1048</v>
      </c>
      <c r="O157" t="s">
        <v>1444</v>
      </c>
      <c r="P157" t="str">
        <f>VLOOKUP(J157,A156:K758,6,TRUE)</f>
        <v>Episode 12</v>
      </c>
    </row>
    <row r="158" spans="1:16" x14ac:dyDescent="0.25">
      <c r="A158" t="s">
        <v>366</v>
      </c>
      <c r="B158" s="1">
        <v>41610</v>
      </c>
      <c r="C158" t="s">
        <v>108</v>
      </c>
      <c r="E158" t="s">
        <v>342</v>
      </c>
      <c r="F158" t="s">
        <v>52</v>
      </c>
      <c r="H158" t="s">
        <v>12</v>
      </c>
      <c r="J158" t="str">
        <f>IF(ISNUMBER(SEARCH("Episode",A158:A761)),A158:A761,"")</f>
        <v>Episode 134 - Date with an Angel</v>
      </c>
      <c r="M158" t="str">
        <f t="shared" si="2"/>
        <v>Date with an Angel</v>
      </c>
      <c r="N158" s="2" t="s">
        <v>1049</v>
      </c>
      <c r="O158" t="s">
        <v>1445</v>
      </c>
      <c r="P158">
        <f>VLOOKUP(J158,A157:K759,6,TRUE)</f>
        <v>0</v>
      </c>
    </row>
    <row r="159" spans="1:16" x14ac:dyDescent="0.25">
      <c r="A159" t="s">
        <v>367</v>
      </c>
      <c r="B159" s="1">
        <v>41617</v>
      </c>
      <c r="C159" t="s">
        <v>108</v>
      </c>
      <c r="E159" t="s">
        <v>342</v>
      </c>
      <c r="F159" t="s">
        <v>56</v>
      </c>
      <c r="H159" t="s">
        <v>12</v>
      </c>
      <c r="J159" t="str">
        <f>IF(ISNUMBER(SEARCH("Episode",A159:A762)),A159:A762,"")</f>
        <v>Episode 135 - Ghostbusters II</v>
      </c>
      <c r="M159" t="str">
        <f t="shared" si="2"/>
        <v>Ghostbusters II</v>
      </c>
      <c r="N159" s="2" t="s">
        <v>1050</v>
      </c>
      <c r="O159" t="s">
        <v>1446</v>
      </c>
      <c r="P159">
        <f>VLOOKUP(J159,A158:K760,6,TRUE)</f>
        <v>0</v>
      </c>
    </row>
    <row r="160" spans="1:16" x14ac:dyDescent="0.25">
      <c r="A160" t="s">
        <v>368</v>
      </c>
      <c r="B160" s="1">
        <v>41618</v>
      </c>
      <c r="C160" t="s">
        <v>108</v>
      </c>
      <c r="E160" t="s">
        <v>342</v>
      </c>
      <c r="H160" t="s">
        <v>369</v>
      </c>
      <c r="J160" t="str">
        <f>IF(ISNUMBER(SEARCH("Episode",A160:A763)),A160:A763,"")</f>
        <v/>
      </c>
      <c r="M160" t="str">
        <f t="shared" si="2"/>
        <v/>
      </c>
      <c r="N160" s="2" t="s">
        <v>1051</v>
      </c>
      <c r="O160" t="s">
        <v>1447</v>
      </c>
      <c r="P160" t="e">
        <f>VLOOKUP(J160,A159:K761,6,TRUE)</f>
        <v>#N/A</v>
      </c>
    </row>
    <row r="161" spans="1:16" x14ac:dyDescent="0.25">
      <c r="A161" t="s">
        <v>370</v>
      </c>
      <c r="B161" s="1">
        <v>41624</v>
      </c>
      <c r="C161" t="s">
        <v>108</v>
      </c>
      <c r="E161" t="s">
        <v>342</v>
      </c>
      <c r="F161" t="s">
        <v>59</v>
      </c>
      <c r="H161" t="s">
        <v>12</v>
      </c>
      <c r="J161" t="str">
        <f>IF(ISNUMBER(SEARCH("Episode",A161:A764)),A161:A764,"")</f>
        <v>Episode 136 - The Good Son</v>
      </c>
      <c r="M161" t="str">
        <f t="shared" si="2"/>
        <v>The Good Son</v>
      </c>
      <c r="N161" s="2" t="s">
        <v>1052</v>
      </c>
      <c r="O161" t="s">
        <v>1448</v>
      </c>
      <c r="P161">
        <f>VLOOKUP(J161,A160:K762,6,TRUE)</f>
        <v>0</v>
      </c>
    </row>
    <row r="162" spans="1:16" x14ac:dyDescent="0.25">
      <c r="A162" t="s">
        <v>371</v>
      </c>
      <c r="B162" s="1">
        <v>41632</v>
      </c>
      <c r="C162" t="s">
        <v>108</v>
      </c>
      <c r="E162" t="s">
        <v>342</v>
      </c>
      <c r="F162" t="s">
        <v>65</v>
      </c>
      <c r="H162" t="s">
        <v>12</v>
      </c>
      <c r="J162" t="str">
        <f>IF(ISNUMBER(SEARCH("Episode",A162:A765)),A162:A765,"")</f>
        <v>Episode 137 - Jingle All the Way</v>
      </c>
      <c r="M162" t="str">
        <f t="shared" si="2"/>
        <v>Jingle All the Way</v>
      </c>
      <c r="N162" s="2" t="s">
        <v>1053</v>
      </c>
      <c r="O162" t="s">
        <v>1449</v>
      </c>
      <c r="P162">
        <f>VLOOKUP(J162,A161:K763,6,TRUE)</f>
        <v>0</v>
      </c>
    </row>
    <row r="163" spans="1:16" x14ac:dyDescent="0.25">
      <c r="A163" t="s">
        <v>372</v>
      </c>
      <c r="B163" s="1">
        <v>41633</v>
      </c>
      <c r="C163" t="s">
        <v>108</v>
      </c>
      <c r="D163" s="1">
        <v>42352</v>
      </c>
      <c r="E163" t="s">
        <v>342</v>
      </c>
      <c r="G163" t="s">
        <v>373</v>
      </c>
      <c r="H163" t="s">
        <v>34</v>
      </c>
      <c r="J163" t="str">
        <f>IF(ISNUMBER(SEARCH("Episode",A163:A766)),A163:A766,"")</f>
        <v/>
      </c>
      <c r="M163" t="str">
        <f t="shared" si="2"/>
        <v/>
      </c>
      <c r="N163" s="2" t="s">
        <v>1054</v>
      </c>
      <c r="O163" t="s">
        <v>1450</v>
      </c>
      <c r="P163" t="e">
        <f>VLOOKUP(J163,A162:K764,6,TRUE)</f>
        <v>#N/A</v>
      </c>
    </row>
    <row r="164" spans="1:16" x14ac:dyDescent="0.25">
      <c r="A164" t="s">
        <v>374</v>
      </c>
      <c r="B164" s="1">
        <v>41638</v>
      </c>
      <c r="C164" t="s">
        <v>108</v>
      </c>
      <c r="E164" t="s">
        <v>342</v>
      </c>
      <c r="F164" t="s">
        <v>68</v>
      </c>
      <c r="H164" t="s">
        <v>12</v>
      </c>
      <c r="J164" t="str">
        <f>IF(ISNUMBER(SEARCH("Episode",A164:A767)),A164:A767,"")</f>
        <v>Episode 138 - The Core</v>
      </c>
      <c r="M164" t="str">
        <f t="shared" si="2"/>
        <v>The Core</v>
      </c>
      <c r="N164" s="2" t="s">
        <v>1055</v>
      </c>
      <c r="O164" t="s">
        <v>1451</v>
      </c>
      <c r="P164">
        <f>VLOOKUP(J164,A163:K765,6,TRUE)</f>
        <v>0</v>
      </c>
    </row>
    <row r="165" spans="1:16" x14ac:dyDescent="0.25">
      <c r="A165" t="s">
        <v>375</v>
      </c>
      <c r="B165" s="1">
        <v>41645</v>
      </c>
      <c r="C165" t="s">
        <v>108</v>
      </c>
      <c r="E165" t="s">
        <v>342</v>
      </c>
      <c r="F165" t="s">
        <v>71</v>
      </c>
      <c r="G165" t="s">
        <v>376</v>
      </c>
      <c r="H165" t="s">
        <v>12</v>
      </c>
      <c r="J165" t="str">
        <f>IF(ISNUMBER(SEARCH("Episode",A165:A768)),A165:A768,"")</f>
        <v>Episode 139 - After Earth</v>
      </c>
      <c r="M165" t="str">
        <f t="shared" si="2"/>
        <v>After Earth</v>
      </c>
      <c r="N165" s="2" t="s">
        <v>1056</v>
      </c>
      <c r="O165" t="s">
        <v>1452</v>
      </c>
      <c r="P165" t="str">
        <f>VLOOKUP(J165,A164:K766,6,TRUE)</f>
        <v>Episode 18</v>
      </c>
    </row>
    <row r="166" spans="1:16" x14ac:dyDescent="0.25">
      <c r="A166" t="s">
        <v>377</v>
      </c>
      <c r="B166" s="1">
        <v>41652</v>
      </c>
      <c r="C166" t="s">
        <v>108</v>
      </c>
      <c r="E166" t="s">
        <v>342</v>
      </c>
      <c r="F166" t="s">
        <v>74</v>
      </c>
      <c r="G166" t="s">
        <v>376</v>
      </c>
      <c r="H166" t="s">
        <v>12</v>
      </c>
      <c r="J166" t="str">
        <f>IF(ISNUMBER(SEARCH("Episode",A166:A769)),A166:A769,"")</f>
        <v>Episode 140 - Easy Rider: The Ride Back</v>
      </c>
      <c r="M166" t="str">
        <f t="shared" si="2"/>
        <v>Easy Rider: The Ride Back</v>
      </c>
      <c r="N166" s="2" t="s">
        <v>1057</v>
      </c>
      <c r="O166" t="s">
        <v>1453</v>
      </c>
      <c r="P166" t="str">
        <f>VLOOKUP(J166,A165:K767,6,TRUE)</f>
        <v>Episode 19</v>
      </c>
    </row>
    <row r="167" spans="1:16" x14ac:dyDescent="0.25">
      <c r="A167" t="s">
        <v>378</v>
      </c>
      <c r="B167" s="1">
        <v>41659</v>
      </c>
      <c r="C167" t="s">
        <v>108</v>
      </c>
      <c r="E167" t="s">
        <v>342</v>
      </c>
      <c r="F167" t="s">
        <v>79</v>
      </c>
      <c r="G167" t="s">
        <v>376</v>
      </c>
      <c r="H167" t="s">
        <v>12</v>
      </c>
      <c r="J167" t="str">
        <f>IF(ISNUMBER(SEARCH("Episode",A167:A770)),A167:A770,"")</f>
        <v>Episode 141 - Getaway</v>
      </c>
      <c r="M167" t="str">
        <f t="shared" si="2"/>
        <v>Getaway</v>
      </c>
      <c r="N167" s="2" t="s">
        <v>1058</v>
      </c>
      <c r="O167" t="s">
        <v>1454</v>
      </c>
      <c r="P167">
        <f>VLOOKUP(J167,A166:K768,6,TRUE)</f>
        <v>0</v>
      </c>
    </row>
    <row r="168" spans="1:16" x14ac:dyDescent="0.25">
      <c r="A168" t="s">
        <v>379</v>
      </c>
      <c r="B168" s="1">
        <v>41666</v>
      </c>
      <c r="C168" t="s">
        <v>108</v>
      </c>
      <c r="E168" t="s">
        <v>342</v>
      </c>
      <c r="F168" t="s">
        <v>85</v>
      </c>
      <c r="G168" t="s">
        <v>376</v>
      </c>
      <c r="H168" t="s">
        <v>12</v>
      </c>
      <c r="J168" t="str">
        <f>IF(ISNUMBER(SEARCH("Episode",A168:A771)),A168:A771,"")</f>
        <v>Episode 142 - A Good Day to Die Hard</v>
      </c>
      <c r="M168" t="str">
        <f t="shared" si="2"/>
        <v>A Good Day to Die Hard</v>
      </c>
      <c r="N168" s="2" t="s">
        <v>1059</v>
      </c>
      <c r="O168" t="s">
        <v>1455</v>
      </c>
      <c r="P168">
        <f>VLOOKUP(J168,A167:K769,6,TRUE)</f>
        <v>0</v>
      </c>
    </row>
    <row r="169" spans="1:16" x14ac:dyDescent="0.25">
      <c r="A169" t="s">
        <v>380</v>
      </c>
      <c r="B169" s="1">
        <v>41673</v>
      </c>
      <c r="C169" t="s">
        <v>108</v>
      </c>
      <c r="E169" t="s">
        <v>342</v>
      </c>
      <c r="F169" t="s">
        <v>143</v>
      </c>
      <c r="G169" t="s">
        <v>381</v>
      </c>
      <c r="H169" t="s">
        <v>12</v>
      </c>
      <c r="J169" t="str">
        <f>IF(ISNUMBER(SEARCH("Episode",A169:A772)),A169:A772,"")</f>
        <v>Episode 143 - Pray for Death</v>
      </c>
      <c r="M169" t="str">
        <f t="shared" si="2"/>
        <v>Pray for Death</v>
      </c>
      <c r="N169" s="2" t="s">
        <v>1060</v>
      </c>
      <c r="O169" t="s">
        <v>1456</v>
      </c>
      <c r="P169">
        <f>VLOOKUP(J169,A168:K770,6,TRUE)</f>
        <v>0</v>
      </c>
    </row>
    <row r="170" spans="1:16" x14ac:dyDescent="0.25">
      <c r="A170" t="s">
        <v>382</v>
      </c>
      <c r="B170" s="1">
        <v>41680</v>
      </c>
      <c r="C170" t="s">
        <v>108</v>
      </c>
      <c r="E170" t="s">
        <v>342</v>
      </c>
      <c r="F170" t="s">
        <v>145</v>
      </c>
      <c r="G170" t="s">
        <v>383</v>
      </c>
      <c r="H170" t="s">
        <v>12</v>
      </c>
      <c r="J170" t="str">
        <f>IF(ISNUMBER(SEARCH("Episode",A170:A773)),A170:A773,"")</f>
        <v>Episode 144 - Masters of the Universe (Live)</v>
      </c>
      <c r="M170" t="str">
        <f t="shared" si="2"/>
        <v>Masters of the Universe (Live)</v>
      </c>
      <c r="N170" s="2" t="s">
        <v>1061</v>
      </c>
      <c r="O170" t="s">
        <v>1457</v>
      </c>
      <c r="P170">
        <f>VLOOKUP(J170,A169:K771,6,TRUE)</f>
        <v>0</v>
      </c>
    </row>
    <row r="171" spans="1:16" x14ac:dyDescent="0.25">
      <c r="A171" t="s">
        <v>384</v>
      </c>
      <c r="B171" s="1">
        <v>41687</v>
      </c>
      <c r="C171" t="s">
        <v>108</v>
      </c>
      <c r="E171" t="s">
        <v>342</v>
      </c>
      <c r="F171" t="s">
        <v>148</v>
      </c>
      <c r="G171" t="s">
        <v>381</v>
      </c>
      <c r="H171" t="s">
        <v>12</v>
      </c>
      <c r="J171" t="str">
        <f>IF(ISNUMBER(SEARCH("Episode",A171:A774)),A171:A774,"")</f>
        <v>Episode 145 - Hard Target</v>
      </c>
      <c r="M171" t="str">
        <f t="shared" si="2"/>
        <v>Hard Target</v>
      </c>
      <c r="N171" s="2" t="s">
        <v>1062</v>
      </c>
      <c r="O171" t="s">
        <v>1458</v>
      </c>
      <c r="P171" t="str">
        <f>VLOOKUP(J171,A170:K772,6,TRUE)</f>
        <v>Episode 24</v>
      </c>
    </row>
    <row r="172" spans="1:16" x14ac:dyDescent="0.25">
      <c r="A172" t="s">
        <v>385</v>
      </c>
      <c r="B172" s="1">
        <v>41693</v>
      </c>
      <c r="C172" t="s">
        <v>14</v>
      </c>
      <c r="D172" t="s">
        <v>386</v>
      </c>
      <c r="E172" t="s">
        <v>342</v>
      </c>
      <c r="G172" t="s">
        <v>319</v>
      </c>
      <c r="H172" t="s">
        <v>62</v>
      </c>
      <c r="J172" t="str">
        <f>IF(ISNUMBER(SEARCH("Episode",A172:A775)),A172:A775,"")</f>
        <v/>
      </c>
      <c r="M172" t="str">
        <f t="shared" si="2"/>
        <v/>
      </c>
      <c r="N172" s="2" t="s">
        <v>1063</v>
      </c>
      <c r="O172" t="s">
        <v>1459</v>
      </c>
      <c r="P172" t="e">
        <f>VLOOKUP(J172,A171:K773,6,TRUE)</f>
        <v>#N/A</v>
      </c>
    </row>
    <row r="173" spans="1:16" x14ac:dyDescent="0.25">
      <c r="A173" t="s">
        <v>387</v>
      </c>
      <c r="B173" s="1">
        <v>41694</v>
      </c>
      <c r="C173" t="s">
        <v>108</v>
      </c>
      <c r="E173" t="s">
        <v>342</v>
      </c>
      <c r="F173" t="s">
        <v>151</v>
      </c>
      <c r="G173" t="s">
        <v>381</v>
      </c>
      <c r="H173" t="s">
        <v>12</v>
      </c>
      <c r="J173" t="str">
        <f>IF(ISNUMBER(SEARCH("Episode",A173:A776)),A173:A776,"")</f>
        <v>Episode 146 - Mrs. Doubtfire</v>
      </c>
      <c r="M173" t="str">
        <f t="shared" si="2"/>
        <v>Mrs. Doubtfire</v>
      </c>
      <c r="N173" s="2" t="s">
        <v>1064</v>
      </c>
      <c r="O173" t="s">
        <v>1460</v>
      </c>
      <c r="P173">
        <f>VLOOKUP(J173,A172:K774,6,TRUE)</f>
        <v>0</v>
      </c>
    </row>
    <row r="174" spans="1:16" x14ac:dyDescent="0.25">
      <c r="A174" t="s">
        <v>388</v>
      </c>
      <c r="B174" s="1">
        <v>41701</v>
      </c>
      <c r="C174" t="s">
        <v>108</v>
      </c>
      <c r="E174" t="s">
        <v>342</v>
      </c>
      <c r="F174" t="s">
        <v>154</v>
      </c>
      <c r="H174" t="s">
        <v>12</v>
      </c>
      <c r="J174" t="str">
        <f>IF(ISNUMBER(SEARCH("Episode",A174:A777)),A174:A777,"")</f>
        <v>Episode 147 - Blame it on Rio</v>
      </c>
      <c r="M174" t="str">
        <f t="shared" si="2"/>
        <v>Blame it on Rio</v>
      </c>
      <c r="N174" s="2" t="s">
        <v>1065</v>
      </c>
      <c r="O174" t="s">
        <v>1461</v>
      </c>
      <c r="P174">
        <f>VLOOKUP(J174,A173:K775,6,TRUE)</f>
        <v>0</v>
      </c>
    </row>
    <row r="175" spans="1:16" x14ac:dyDescent="0.25">
      <c r="A175" t="s">
        <v>389</v>
      </c>
      <c r="B175" s="1">
        <v>41707</v>
      </c>
      <c r="C175" t="s">
        <v>14</v>
      </c>
      <c r="D175" t="s">
        <v>390</v>
      </c>
      <c r="E175" t="s">
        <v>342</v>
      </c>
      <c r="G175" t="s">
        <v>319</v>
      </c>
      <c r="H175" t="s">
        <v>369</v>
      </c>
      <c r="J175" t="str">
        <f>IF(ISNUMBER(SEARCH("Episode",A175:A778)),A175:A778,"")</f>
        <v/>
      </c>
      <c r="M175" t="str">
        <f t="shared" si="2"/>
        <v/>
      </c>
      <c r="N175" s="2" t="s">
        <v>1066</v>
      </c>
      <c r="O175" t="s">
        <v>1462</v>
      </c>
      <c r="P175" t="e">
        <f>VLOOKUP(J175,A174:K776,6,TRUE)</f>
        <v>#N/A</v>
      </c>
    </row>
    <row r="176" spans="1:16" x14ac:dyDescent="0.25">
      <c r="A176" t="s">
        <v>391</v>
      </c>
      <c r="B176" s="1">
        <v>41708</v>
      </c>
      <c r="C176" t="s">
        <v>108</v>
      </c>
      <c r="E176" t="s">
        <v>342</v>
      </c>
      <c r="F176" t="s">
        <v>157</v>
      </c>
      <c r="H176" t="s">
        <v>12</v>
      </c>
      <c r="J176" t="str">
        <f>IF(ISNUMBER(SEARCH("Episode",A176:A779)),A176:A779,"")</f>
        <v>Episode 148 - Canvas</v>
      </c>
      <c r="M176" t="str">
        <f t="shared" si="2"/>
        <v>Canvas</v>
      </c>
      <c r="N176" s="2" t="s">
        <v>1067</v>
      </c>
      <c r="O176" t="s">
        <v>1463</v>
      </c>
      <c r="P176">
        <f>VLOOKUP(J176,A175:K777,6,TRUE)</f>
        <v>0</v>
      </c>
    </row>
    <row r="177" spans="1:16" x14ac:dyDescent="0.25">
      <c r="A177" t="s">
        <v>392</v>
      </c>
      <c r="B177" s="1">
        <v>41711</v>
      </c>
      <c r="C177" t="s">
        <v>14</v>
      </c>
      <c r="D177" t="s">
        <v>393</v>
      </c>
      <c r="E177" t="s">
        <v>342</v>
      </c>
      <c r="G177" t="s">
        <v>319</v>
      </c>
      <c r="H177" t="s">
        <v>34</v>
      </c>
      <c r="J177" t="str">
        <f>IF(ISNUMBER(SEARCH("Episode",A177:A780)),A177:A780,"")</f>
        <v/>
      </c>
      <c r="M177" t="str">
        <f t="shared" si="2"/>
        <v/>
      </c>
      <c r="N177" s="2" t="s">
        <v>1068</v>
      </c>
      <c r="O177" t="s">
        <v>1464</v>
      </c>
      <c r="P177" t="e">
        <f>VLOOKUP(J177,A176:K778,6,TRUE)</f>
        <v>#N/A</v>
      </c>
    </row>
    <row r="178" spans="1:16" x14ac:dyDescent="0.25">
      <c r="A178" t="s">
        <v>394</v>
      </c>
      <c r="B178" s="1">
        <v>41715</v>
      </c>
      <c r="C178" t="s">
        <v>108</v>
      </c>
      <c r="E178" t="s">
        <v>342</v>
      </c>
      <c r="F178" t="s">
        <v>160</v>
      </c>
      <c r="H178" t="s">
        <v>12</v>
      </c>
      <c r="J178" t="str">
        <f>IF(ISNUMBER(SEARCH("Episode",A178:A781)),A178:A781,"")</f>
        <v>Episode 149 - Dreamcatcher</v>
      </c>
      <c r="M178" t="str">
        <f t="shared" si="2"/>
        <v>Dreamcatcher</v>
      </c>
      <c r="N178" s="2" t="s">
        <v>1069</v>
      </c>
      <c r="O178" t="s">
        <v>1465</v>
      </c>
      <c r="P178">
        <f>VLOOKUP(J178,A177:K779,6,TRUE)</f>
        <v>0</v>
      </c>
    </row>
    <row r="179" spans="1:16" x14ac:dyDescent="0.25">
      <c r="A179" t="s">
        <v>395</v>
      </c>
      <c r="B179" s="1">
        <v>41722</v>
      </c>
      <c r="C179" t="s">
        <v>108</v>
      </c>
      <c r="E179" t="s">
        <v>342</v>
      </c>
      <c r="F179" t="s">
        <v>163</v>
      </c>
      <c r="H179" t="s">
        <v>12</v>
      </c>
      <c r="J179" t="str">
        <f>IF(ISNUMBER(SEARCH("Episode",A179:A782)),A179:A782,"")</f>
        <v>Episode 150 - My Science Project</v>
      </c>
      <c r="M179" t="str">
        <f t="shared" si="2"/>
        <v>My Science Project</v>
      </c>
      <c r="N179" s="2" t="s">
        <v>1070</v>
      </c>
      <c r="O179" t="s">
        <v>1466</v>
      </c>
      <c r="P179" t="str">
        <f>VLOOKUP(J179,A178:K780,6,TRUE)</f>
        <v>Episode 29</v>
      </c>
    </row>
    <row r="180" spans="1:16" x14ac:dyDescent="0.25">
      <c r="A180" t="s">
        <v>396</v>
      </c>
      <c r="B180" s="1">
        <v>41729</v>
      </c>
      <c r="C180" t="s">
        <v>108</v>
      </c>
      <c r="E180" t="s">
        <v>342</v>
      </c>
      <c r="F180" t="s">
        <v>166</v>
      </c>
      <c r="H180" t="s">
        <v>12</v>
      </c>
      <c r="J180" t="str">
        <f>IF(ISNUMBER(SEARCH("Episode",A180:A783)),A180:A783,"")</f>
        <v>Episode 151 - North</v>
      </c>
      <c r="M180" t="str">
        <f t="shared" si="2"/>
        <v>North</v>
      </c>
      <c r="N180" s="2" t="s">
        <v>1071</v>
      </c>
      <c r="O180" t="s">
        <v>1467</v>
      </c>
      <c r="P180" t="str">
        <f>VLOOKUP(J180,A179:K781,6,TRUE)</f>
        <v>Episode 30</v>
      </c>
    </row>
    <row r="181" spans="1:16" x14ac:dyDescent="0.25">
      <c r="A181" t="s">
        <v>397</v>
      </c>
      <c r="B181" s="1">
        <v>41736</v>
      </c>
      <c r="C181" t="s">
        <v>108</v>
      </c>
      <c r="E181" t="s">
        <v>342</v>
      </c>
      <c r="F181" t="s">
        <v>169</v>
      </c>
      <c r="H181" t="s">
        <v>12</v>
      </c>
      <c r="J181" t="str">
        <f>IF(ISNUMBER(SEARCH("Episode",A181:A784)),A181:A784,"")</f>
        <v>Episode 152 - Joysticks</v>
      </c>
      <c r="M181" t="str">
        <f t="shared" si="2"/>
        <v>Joysticks</v>
      </c>
      <c r="N181" s="2" t="s">
        <v>1072</v>
      </c>
      <c r="O181" t="s">
        <v>1468</v>
      </c>
      <c r="P181">
        <f>VLOOKUP(J181,A180:K782,6,TRUE)</f>
        <v>0</v>
      </c>
    </row>
    <row r="182" spans="1:16" x14ac:dyDescent="0.25">
      <c r="A182" t="s">
        <v>398</v>
      </c>
      <c r="B182" s="1">
        <v>41743</v>
      </c>
      <c r="C182" t="s">
        <v>108</v>
      </c>
      <c r="E182" t="s">
        <v>342</v>
      </c>
      <c r="F182" t="s">
        <v>172</v>
      </c>
      <c r="H182" t="s">
        <v>12</v>
      </c>
      <c r="J182" t="str">
        <f>IF(ISNUMBER(SEARCH("Episode",A182:A785)),A182:A785,"")</f>
        <v>Episode 153 - The Karate Kid, Part III</v>
      </c>
      <c r="M182" t="str">
        <f t="shared" si="2"/>
        <v>The Karate Kid, Part III</v>
      </c>
      <c r="N182" s="2" t="s">
        <v>1073</v>
      </c>
      <c r="O182" t="s">
        <v>1469</v>
      </c>
      <c r="P182">
        <f>VLOOKUP(J182,A181:K783,6,TRUE)</f>
        <v>0</v>
      </c>
    </row>
    <row r="183" spans="1:16" x14ac:dyDescent="0.25">
      <c r="A183" t="s">
        <v>399</v>
      </c>
      <c r="B183" s="1">
        <v>41746</v>
      </c>
      <c r="C183" t="s">
        <v>14</v>
      </c>
      <c r="D183" t="s">
        <v>400</v>
      </c>
      <c r="E183" t="s">
        <v>342</v>
      </c>
      <c r="G183" t="s">
        <v>319</v>
      </c>
      <c r="H183" t="s">
        <v>369</v>
      </c>
      <c r="J183" t="str">
        <f>IF(ISNUMBER(SEARCH("Episode",A183:A786)),A183:A786,"")</f>
        <v/>
      </c>
      <c r="M183" t="str">
        <f t="shared" si="2"/>
        <v/>
      </c>
      <c r="N183" s="2" t="s">
        <v>1074</v>
      </c>
      <c r="O183" t="s">
        <v>1470</v>
      </c>
      <c r="P183" t="e">
        <f>VLOOKUP(J183,A182:K784,6,TRUE)</f>
        <v>#N/A</v>
      </c>
    </row>
    <row r="184" spans="1:16" x14ac:dyDescent="0.25">
      <c r="A184" t="s">
        <v>401</v>
      </c>
      <c r="B184" s="1">
        <v>41750</v>
      </c>
      <c r="C184" t="s">
        <v>108</v>
      </c>
      <c r="E184" t="s">
        <v>342</v>
      </c>
      <c r="F184" t="s">
        <v>175</v>
      </c>
      <c r="H184" t="s">
        <v>12</v>
      </c>
      <c r="J184" t="str">
        <f>IF(ISNUMBER(SEARCH("Episode",A184:A787)),A184:A787,"")</f>
        <v>Episode 154 - Hail Caesar</v>
      </c>
      <c r="M184" t="str">
        <f t="shared" si="2"/>
        <v>Hail Caesar</v>
      </c>
      <c r="N184" s="2" t="s">
        <v>1075</v>
      </c>
      <c r="O184" t="s">
        <v>1471</v>
      </c>
      <c r="P184">
        <f>VLOOKUP(J184,A183:K785,6,TRUE)</f>
        <v>0</v>
      </c>
    </row>
    <row r="185" spans="1:16" x14ac:dyDescent="0.25">
      <c r="A185" t="s">
        <v>402</v>
      </c>
      <c r="B185" s="1">
        <v>41757</v>
      </c>
      <c r="C185" t="s">
        <v>108</v>
      </c>
      <c r="E185" t="s">
        <v>342</v>
      </c>
      <c r="F185" t="s">
        <v>177</v>
      </c>
      <c r="H185" t="s">
        <v>12</v>
      </c>
      <c r="J185" t="str">
        <f>IF(ISNUMBER(SEARCH("Episode",A185:A788)),A185:A788,"")</f>
        <v>Episode 155 - Every Which Way But Loose</v>
      </c>
      <c r="M185" t="str">
        <f t="shared" si="2"/>
        <v>Every Which Way But Loose</v>
      </c>
      <c r="N185" s="2" t="s">
        <v>1076</v>
      </c>
      <c r="O185" t="s">
        <v>1472</v>
      </c>
      <c r="P185">
        <f>VLOOKUP(J185,A184:K786,6,TRUE)</f>
        <v>0</v>
      </c>
    </row>
    <row r="186" spans="1:16" x14ac:dyDescent="0.25">
      <c r="A186" t="s">
        <v>403</v>
      </c>
      <c r="B186" s="1">
        <v>41764</v>
      </c>
      <c r="C186" t="s">
        <v>108</v>
      </c>
      <c r="E186" t="s">
        <v>342</v>
      </c>
      <c r="F186" t="s">
        <v>180</v>
      </c>
      <c r="H186" t="s">
        <v>12</v>
      </c>
      <c r="J186" t="str">
        <f>IF(ISNUMBER(SEARCH("Episode",A186:A789)),A186:A789,"")</f>
        <v>Episode 156 - The Butterfly Effect</v>
      </c>
      <c r="M186" t="str">
        <f t="shared" si="2"/>
        <v>The Butterfly Effect</v>
      </c>
      <c r="N186" s="2" t="s">
        <v>1077</v>
      </c>
      <c r="O186" t="s">
        <v>1473</v>
      </c>
      <c r="P186">
        <f>VLOOKUP(J186,A185:K787,6,TRUE)</f>
        <v>0</v>
      </c>
    </row>
    <row r="187" spans="1:16" x14ac:dyDescent="0.25">
      <c r="A187" t="s">
        <v>404</v>
      </c>
      <c r="B187" s="1">
        <v>41771</v>
      </c>
      <c r="C187" t="s">
        <v>108</v>
      </c>
      <c r="E187" t="s">
        <v>342</v>
      </c>
      <c r="F187" t="s">
        <v>183</v>
      </c>
      <c r="H187" t="s">
        <v>12</v>
      </c>
      <c r="J187" t="str">
        <f>IF(ISNUMBER(SEARCH("Episode",A187:A790)),A187:A790,"")</f>
        <v>Episode 157 - Abraxas, Guardian of the Universe</v>
      </c>
      <c r="M187" t="str">
        <f t="shared" si="2"/>
        <v>Abraxas, Guardian of the Universe</v>
      </c>
      <c r="N187" s="2" t="s">
        <v>1078</v>
      </c>
      <c r="O187" t="s">
        <v>1474</v>
      </c>
      <c r="P187" t="str">
        <f>VLOOKUP(J187,A186:K788,6,TRUE)</f>
        <v>Episode 36</v>
      </c>
    </row>
    <row r="188" spans="1:16" x14ac:dyDescent="0.25">
      <c r="A188" t="s">
        <v>405</v>
      </c>
      <c r="B188" s="1">
        <v>41774</v>
      </c>
      <c r="C188" t="s">
        <v>108</v>
      </c>
      <c r="D188" s="1">
        <v>42221</v>
      </c>
      <c r="E188" t="s">
        <v>342</v>
      </c>
      <c r="G188" t="s">
        <v>406</v>
      </c>
      <c r="H188" t="s">
        <v>369</v>
      </c>
      <c r="J188" t="str">
        <f>IF(ISNUMBER(SEARCH("Episode",A188:A791)),A188:A791,"")</f>
        <v/>
      </c>
      <c r="M188" t="str">
        <f t="shared" si="2"/>
        <v/>
      </c>
      <c r="N188" s="2" t="s">
        <v>1079</v>
      </c>
      <c r="O188" t="s">
        <v>1475</v>
      </c>
      <c r="P188" t="e">
        <f>VLOOKUP(J188,A187:K789,6,TRUE)</f>
        <v>#N/A</v>
      </c>
    </row>
    <row r="189" spans="1:16" x14ac:dyDescent="0.25">
      <c r="A189" t="s">
        <v>407</v>
      </c>
      <c r="B189" s="1">
        <v>41775</v>
      </c>
      <c r="C189" t="s">
        <v>233</v>
      </c>
      <c r="D189" t="s">
        <v>408</v>
      </c>
      <c r="E189" t="s">
        <v>342</v>
      </c>
      <c r="H189" t="s">
        <v>236</v>
      </c>
      <c r="J189" t="str">
        <f>IF(ISNUMBER(SEARCH("Episode",A189:A792)),A189:A792,"")</f>
        <v/>
      </c>
      <c r="M189" t="str">
        <f t="shared" si="2"/>
        <v/>
      </c>
      <c r="N189" s="2" t="s">
        <v>1080</v>
      </c>
      <c r="O189" t="s">
        <v>1476</v>
      </c>
      <c r="P189" t="e">
        <f>VLOOKUP(J189,A188:K790,6,TRUE)</f>
        <v>#N/A</v>
      </c>
    </row>
    <row r="190" spans="1:16" x14ac:dyDescent="0.25">
      <c r="A190" t="s">
        <v>409</v>
      </c>
      <c r="B190" s="1">
        <v>41778</v>
      </c>
      <c r="C190" t="s">
        <v>108</v>
      </c>
      <c r="E190" t="s">
        <v>342</v>
      </c>
      <c r="F190" t="s">
        <v>186</v>
      </c>
      <c r="H190" t="s">
        <v>12</v>
      </c>
      <c r="J190" t="str">
        <f>IF(ISNUMBER(SEARCH("Episode",A190:A793)),A190:A793,"")</f>
        <v>Episode 158 - Hot Dogâ€¦The Movie</v>
      </c>
      <c r="M190" t="str">
        <f t="shared" si="2"/>
        <v>Hot Dogâ€¦The Movie</v>
      </c>
      <c r="N190" s="2" t="s">
        <v>1081</v>
      </c>
      <c r="O190" t="s">
        <v>1477</v>
      </c>
      <c r="P190" t="str">
        <f>VLOOKUP(J190,A189:K791,6,TRUE)</f>
        <v>Episode 37</v>
      </c>
    </row>
    <row r="191" spans="1:16" x14ac:dyDescent="0.25">
      <c r="A191" t="s">
        <v>410</v>
      </c>
      <c r="B191" s="1">
        <v>41785</v>
      </c>
      <c r="C191" t="s">
        <v>108</v>
      </c>
      <c r="E191" t="s">
        <v>342</v>
      </c>
      <c r="F191" t="s">
        <v>188</v>
      </c>
      <c r="H191" t="s">
        <v>12</v>
      </c>
      <c r="J191" t="str">
        <f>IF(ISNUMBER(SEARCH("Episode",A191:A794)),A191:A794,"")</f>
        <v>Episode 159 - Hamburger: The Motion Picture</v>
      </c>
      <c r="M191" t="str">
        <f t="shared" si="2"/>
        <v>Hamburger: The Motion Picture</v>
      </c>
      <c r="N191" s="2" t="s">
        <v>1082</v>
      </c>
      <c r="O191" t="s">
        <v>1478</v>
      </c>
      <c r="P191">
        <f>VLOOKUP(J191,A190:K792,6,TRUE)</f>
        <v>0</v>
      </c>
    </row>
    <row r="192" spans="1:16" x14ac:dyDescent="0.25">
      <c r="A192" t="s">
        <v>411</v>
      </c>
      <c r="B192" s="1">
        <v>41788</v>
      </c>
      <c r="C192" t="s">
        <v>14</v>
      </c>
      <c r="D192" t="s">
        <v>412</v>
      </c>
      <c r="E192" t="s">
        <v>342</v>
      </c>
      <c r="G192" t="s">
        <v>319</v>
      </c>
      <c r="H192" t="s">
        <v>34</v>
      </c>
      <c r="J192" t="str">
        <f>IF(ISNUMBER(SEARCH("Episode",A192:A795)),A192:A795,"")</f>
        <v/>
      </c>
      <c r="M192" t="str">
        <f t="shared" si="2"/>
        <v/>
      </c>
      <c r="N192" s="2" t="s">
        <v>1083</v>
      </c>
      <c r="O192" t="s">
        <v>1479</v>
      </c>
      <c r="P192" t="e">
        <f>VLOOKUP(J192,A191:K793,6,TRUE)</f>
        <v>#N/A</v>
      </c>
    </row>
    <row r="193" spans="1:16" x14ac:dyDescent="0.25">
      <c r="A193" t="s">
        <v>413</v>
      </c>
      <c r="B193" s="1">
        <v>41792</v>
      </c>
      <c r="C193" t="s">
        <v>108</v>
      </c>
      <c r="E193" t="s">
        <v>342</v>
      </c>
      <c r="F193" t="s">
        <v>191</v>
      </c>
      <c r="G193" t="s">
        <v>414</v>
      </c>
      <c r="H193" t="s">
        <v>12</v>
      </c>
      <c r="J193" t="str">
        <f>IF(ISNUMBER(SEARCH("Episode",A193:A796)),A193:A796,"")</f>
        <v>Episode 160 - Mystery Men</v>
      </c>
      <c r="M193" t="str">
        <f t="shared" si="2"/>
        <v>Mystery Men</v>
      </c>
      <c r="N193" s="2" t="s">
        <v>1084</v>
      </c>
      <c r="O193" t="s">
        <v>1480</v>
      </c>
      <c r="P193">
        <f>VLOOKUP(J193,A192:K794,6,TRUE)</f>
        <v>0</v>
      </c>
    </row>
    <row r="194" spans="1:16" x14ac:dyDescent="0.25">
      <c r="A194" t="s">
        <v>415</v>
      </c>
      <c r="B194" s="1">
        <v>41795</v>
      </c>
      <c r="C194" t="s">
        <v>108</v>
      </c>
      <c r="E194" t="s">
        <v>342</v>
      </c>
      <c r="H194" t="s">
        <v>241</v>
      </c>
      <c r="J194" t="str">
        <f>IF(ISNUMBER(SEARCH("Episode",A194:A797)),A194:A797,"")</f>
        <v/>
      </c>
      <c r="M194" t="str">
        <f t="shared" si="2"/>
        <v/>
      </c>
      <c r="N194" s="2" t="s">
        <v>1085</v>
      </c>
      <c r="O194" t="s">
        <v>1481</v>
      </c>
      <c r="P194" t="e">
        <f>VLOOKUP(J194,A193:K795,6,TRUE)</f>
        <v>#N/A</v>
      </c>
    </row>
    <row r="195" spans="1:16" x14ac:dyDescent="0.25">
      <c r="A195" t="s">
        <v>416</v>
      </c>
      <c r="B195" s="1">
        <v>41799</v>
      </c>
      <c r="C195" t="s">
        <v>108</v>
      </c>
      <c r="E195" t="s">
        <v>342</v>
      </c>
      <c r="F195" t="s">
        <v>194</v>
      </c>
      <c r="G195" t="s">
        <v>414</v>
      </c>
      <c r="H195" t="s">
        <v>12</v>
      </c>
      <c r="J195" t="str">
        <f>IF(ISNUMBER(SEARCH("Episode",A195:A798)),A195:A798,"")</f>
        <v>Episode 161 - Mortal Kombat</v>
      </c>
      <c r="M195" t="str">
        <f t="shared" ref="M195:M258" si="3">REPLACE(J195,1,14,"")</f>
        <v>Mortal Kombat</v>
      </c>
      <c r="N195" s="2" t="s">
        <v>1086</v>
      </c>
      <c r="O195" t="s">
        <v>1482</v>
      </c>
      <c r="P195" t="str">
        <f>VLOOKUP(J195,A194:K796,6,TRUE)</f>
        <v>Episode 40</v>
      </c>
    </row>
    <row r="196" spans="1:16" x14ac:dyDescent="0.25">
      <c r="A196" t="s">
        <v>417</v>
      </c>
      <c r="B196" s="1">
        <v>41806</v>
      </c>
      <c r="C196" t="s">
        <v>108</v>
      </c>
      <c r="E196" t="s">
        <v>342</v>
      </c>
      <c r="F196" t="s">
        <v>198</v>
      </c>
      <c r="G196" t="s">
        <v>414</v>
      </c>
      <c r="H196" t="s">
        <v>12</v>
      </c>
      <c r="J196" t="str">
        <f>IF(ISNUMBER(SEARCH("Episode",A196:A799)),A196:A799,"")</f>
        <v>Episode 162 - Swordfish</v>
      </c>
      <c r="M196" t="str">
        <f t="shared" si="3"/>
        <v>Swordfish</v>
      </c>
      <c r="N196" s="2" t="s">
        <v>1087</v>
      </c>
      <c r="O196" t="s">
        <v>1483</v>
      </c>
      <c r="P196">
        <f>VLOOKUP(J196,A195:K797,6,TRUE)</f>
        <v>0</v>
      </c>
    </row>
    <row r="197" spans="1:16" x14ac:dyDescent="0.25">
      <c r="A197" t="s">
        <v>418</v>
      </c>
      <c r="B197" s="1">
        <v>41813</v>
      </c>
      <c r="C197" t="s">
        <v>108</v>
      </c>
      <c r="E197" t="s">
        <v>342</v>
      </c>
      <c r="F197" t="s">
        <v>201</v>
      </c>
      <c r="G197" t="s">
        <v>414</v>
      </c>
      <c r="H197" t="s">
        <v>12</v>
      </c>
      <c r="J197" t="str">
        <f>IF(ISNUMBER(SEARCH("Episode",A197:A800)),A197:A800,"")</f>
        <v>Episode 163 - Catwoman</v>
      </c>
      <c r="M197" t="str">
        <f t="shared" si="3"/>
        <v>Catwoman</v>
      </c>
      <c r="N197" s="2" t="s">
        <v>1088</v>
      </c>
      <c r="O197" t="s">
        <v>1484</v>
      </c>
      <c r="P197">
        <f>VLOOKUP(J197,A196:K798,6,TRUE)</f>
        <v>0</v>
      </c>
    </row>
    <row r="198" spans="1:16" x14ac:dyDescent="0.25">
      <c r="A198" t="s">
        <v>419</v>
      </c>
      <c r="B198" s="1">
        <v>41816</v>
      </c>
      <c r="C198" t="s">
        <v>108</v>
      </c>
      <c r="E198" t="s">
        <v>342</v>
      </c>
      <c r="H198" t="s">
        <v>369</v>
      </c>
      <c r="J198" t="str">
        <f>IF(ISNUMBER(SEARCH("Episode",A198:A801)),A198:A801,"")</f>
        <v/>
      </c>
      <c r="M198" t="str">
        <f t="shared" si="3"/>
        <v/>
      </c>
      <c r="N198" s="2" t="s">
        <v>1089</v>
      </c>
      <c r="O198" t="s">
        <v>1485</v>
      </c>
      <c r="P198" t="e">
        <f>VLOOKUP(J198,A197:K799,6,TRUE)</f>
        <v>#N/A</v>
      </c>
    </row>
    <row r="199" spans="1:16" x14ac:dyDescent="0.25">
      <c r="A199" t="s">
        <v>420</v>
      </c>
      <c r="B199" s="1">
        <v>41820</v>
      </c>
      <c r="C199" t="s">
        <v>108</v>
      </c>
      <c r="E199" t="s">
        <v>342</v>
      </c>
      <c r="F199" t="s">
        <v>204</v>
      </c>
      <c r="G199" t="s">
        <v>414</v>
      </c>
      <c r="H199" t="s">
        <v>12</v>
      </c>
      <c r="J199" t="str">
        <f>IF(ISNUMBER(SEARCH("Episode",A199:A802)),A199:A802,"")</f>
        <v>Episode 164 - Stroker Ace</v>
      </c>
      <c r="M199" t="str">
        <f t="shared" si="3"/>
        <v>Stroker Ace</v>
      </c>
      <c r="N199" s="2" t="s">
        <v>1090</v>
      </c>
      <c r="O199" t="s">
        <v>1486</v>
      </c>
      <c r="P199">
        <f>VLOOKUP(J199,A198:K800,6,TRUE)</f>
        <v>0</v>
      </c>
    </row>
    <row r="200" spans="1:16" x14ac:dyDescent="0.25">
      <c r="A200" t="s">
        <v>421</v>
      </c>
      <c r="B200" s="1">
        <v>41827</v>
      </c>
      <c r="C200" t="s">
        <v>108</v>
      </c>
      <c r="E200" t="s">
        <v>342</v>
      </c>
      <c r="F200" t="s">
        <v>207</v>
      </c>
      <c r="G200" t="s">
        <v>414</v>
      </c>
      <c r="H200" t="s">
        <v>12</v>
      </c>
      <c r="J200" t="str">
        <f>IF(ISNUMBER(SEARCH("Episode",A200:A803)),A200:A803,"")</f>
        <v>Episode 165 - Planet of the Apes</v>
      </c>
      <c r="M200" t="str">
        <f t="shared" si="3"/>
        <v>Planet of the Apes</v>
      </c>
      <c r="N200" s="2" t="s">
        <v>1091</v>
      </c>
      <c r="O200" t="s">
        <v>1487</v>
      </c>
      <c r="P200">
        <f>VLOOKUP(J200,A199:K801,6,TRUE)</f>
        <v>0</v>
      </c>
    </row>
    <row r="201" spans="1:16" x14ac:dyDescent="0.25">
      <c r="A201" t="s">
        <v>422</v>
      </c>
      <c r="B201" s="1">
        <v>41834</v>
      </c>
      <c r="C201" t="s">
        <v>108</v>
      </c>
      <c r="E201" t="s">
        <v>342</v>
      </c>
      <c r="F201" t="s">
        <v>210</v>
      </c>
      <c r="G201" t="s">
        <v>414</v>
      </c>
      <c r="H201" t="s">
        <v>12</v>
      </c>
      <c r="J201" t="str">
        <f>IF(ISNUMBER(SEARCH("Episode",A201:A804)),A201:A804,"")</f>
        <v>Episode 166 - The Day After Tomorrow</v>
      </c>
      <c r="M201" t="str">
        <f t="shared" si="3"/>
        <v>The Day After Tomorrow</v>
      </c>
      <c r="N201" s="2" t="s">
        <v>1092</v>
      </c>
      <c r="O201" t="s">
        <v>1488</v>
      </c>
      <c r="P201" t="str">
        <f>VLOOKUP(J201,A200:K802,6,TRUE)</f>
        <v>Episode 45</v>
      </c>
    </row>
    <row r="202" spans="1:16" x14ac:dyDescent="0.25">
      <c r="A202" t="s">
        <v>423</v>
      </c>
      <c r="B202" s="1">
        <v>41836</v>
      </c>
      <c r="C202" t="s">
        <v>108</v>
      </c>
      <c r="E202" t="s">
        <v>342</v>
      </c>
      <c r="H202" t="s">
        <v>241</v>
      </c>
      <c r="J202" t="str">
        <f>IF(ISNUMBER(SEARCH("Episode",A202:A805)),A202:A805,"")</f>
        <v/>
      </c>
      <c r="M202" t="str">
        <f t="shared" si="3"/>
        <v/>
      </c>
      <c r="N202" s="2" t="s">
        <v>1093</v>
      </c>
      <c r="O202" t="s">
        <v>1489</v>
      </c>
      <c r="P202" t="e">
        <f>VLOOKUP(J202,A201:K803,6,TRUE)</f>
        <v>#N/A</v>
      </c>
    </row>
    <row r="203" spans="1:16" x14ac:dyDescent="0.25">
      <c r="A203" t="s">
        <v>424</v>
      </c>
      <c r="B203" s="1">
        <v>41841</v>
      </c>
      <c r="C203" t="s">
        <v>108</v>
      </c>
      <c r="E203" t="s">
        <v>342</v>
      </c>
      <c r="F203" t="s">
        <v>213</v>
      </c>
      <c r="G203" t="s">
        <v>414</v>
      </c>
      <c r="H203" t="s">
        <v>12</v>
      </c>
      <c r="J203" t="str">
        <f>IF(ISNUMBER(SEARCH("Episode",A203:A806)),A203:A806,"")</f>
        <v>Episode 167 - Under Siege 2: Dark Territory</v>
      </c>
      <c r="M203" t="str">
        <f t="shared" si="3"/>
        <v>Under Siege 2: Dark Territory</v>
      </c>
      <c r="N203" s="2" t="s">
        <v>1094</v>
      </c>
      <c r="O203" t="s">
        <v>1490</v>
      </c>
      <c r="P203">
        <f>VLOOKUP(J203,A202:K804,6,TRUE)</f>
        <v>0</v>
      </c>
    </row>
    <row r="204" spans="1:16" x14ac:dyDescent="0.25">
      <c r="A204" t="s">
        <v>425</v>
      </c>
      <c r="B204" s="1">
        <v>41848</v>
      </c>
      <c r="C204" t="s">
        <v>108</v>
      </c>
      <c r="E204" t="s">
        <v>342</v>
      </c>
      <c r="F204" t="s">
        <v>216</v>
      </c>
      <c r="G204" t="s">
        <v>414</v>
      </c>
      <c r="H204" t="s">
        <v>12</v>
      </c>
      <c r="J204" t="str">
        <f>IF(ISNUMBER(SEARCH("Episode",A204:A807)),A204:A807,"")</f>
        <v>Episode 168 - TMNT II: The Secret of the Ooze</v>
      </c>
      <c r="M204" t="str">
        <f t="shared" si="3"/>
        <v>TMNT II: The Secret of the Ooze</v>
      </c>
      <c r="N204" s="2" t="s">
        <v>1095</v>
      </c>
      <c r="O204" t="s">
        <v>1491</v>
      </c>
      <c r="P204" t="str">
        <f>VLOOKUP(J204,A203:K805,6,TRUE)</f>
        <v>Episode 47</v>
      </c>
    </row>
    <row r="205" spans="1:16" x14ac:dyDescent="0.25">
      <c r="A205" t="s">
        <v>426</v>
      </c>
      <c r="B205" s="1">
        <v>41858</v>
      </c>
      <c r="C205" t="s">
        <v>14</v>
      </c>
      <c r="D205" t="s">
        <v>427</v>
      </c>
      <c r="E205" t="s">
        <v>342</v>
      </c>
      <c r="G205" t="s">
        <v>319</v>
      </c>
      <c r="H205" t="s">
        <v>369</v>
      </c>
      <c r="J205" t="str">
        <f>IF(ISNUMBER(SEARCH("Episode",A205:A808)),A205:A808,"")</f>
        <v/>
      </c>
      <c r="M205" t="str">
        <f t="shared" si="3"/>
        <v/>
      </c>
      <c r="N205" s="2" t="s">
        <v>1096</v>
      </c>
      <c r="O205" t="s">
        <v>1492</v>
      </c>
      <c r="P205" t="e">
        <f>VLOOKUP(J205,A204:K806,6,TRUE)</f>
        <v>#N/A</v>
      </c>
    </row>
    <row r="206" spans="1:16" x14ac:dyDescent="0.25">
      <c r="A206" t="s">
        <v>428</v>
      </c>
      <c r="B206" s="1">
        <v>41890</v>
      </c>
      <c r="C206" t="s">
        <v>108</v>
      </c>
      <c r="E206" t="s">
        <v>429</v>
      </c>
      <c r="F206" t="s">
        <v>11</v>
      </c>
      <c r="H206" t="s">
        <v>12</v>
      </c>
      <c r="J206" t="str">
        <f>IF(ISNUMBER(SEARCH("Episode",A206:A809)),A206:A809,"")</f>
        <v>Episode 169 - The Substitute</v>
      </c>
      <c r="M206" t="str">
        <f t="shared" si="3"/>
        <v>The Substitute</v>
      </c>
      <c r="N206" s="2" t="s">
        <v>1097</v>
      </c>
      <c r="O206" t="s">
        <v>1493</v>
      </c>
      <c r="P206" t="str">
        <f>VLOOKUP(J206,A205:K807,6,TRUE)</f>
        <v>Episode 1</v>
      </c>
    </row>
    <row r="207" spans="1:16" x14ac:dyDescent="0.25">
      <c r="A207" t="s">
        <v>430</v>
      </c>
      <c r="B207" s="1">
        <v>41897</v>
      </c>
      <c r="C207" t="s">
        <v>108</v>
      </c>
      <c r="E207" t="s">
        <v>429</v>
      </c>
      <c r="F207" t="s">
        <v>16</v>
      </c>
      <c r="H207" t="s">
        <v>12</v>
      </c>
      <c r="J207" t="str">
        <f>IF(ISNUMBER(SEARCH("Episode",A207:A810)),A207:A810,"")</f>
        <v>Episode 170 - Timecop</v>
      </c>
      <c r="M207" t="str">
        <f t="shared" si="3"/>
        <v>Timecop</v>
      </c>
      <c r="N207" s="2" t="s">
        <v>1098</v>
      </c>
      <c r="O207" t="s">
        <v>1494</v>
      </c>
      <c r="P207">
        <f>VLOOKUP(J207,A206:K808,6,TRUE)</f>
        <v>0</v>
      </c>
    </row>
    <row r="208" spans="1:16" x14ac:dyDescent="0.25">
      <c r="A208" t="s">
        <v>431</v>
      </c>
      <c r="B208" s="1">
        <v>41904</v>
      </c>
      <c r="C208" t="s">
        <v>108</v>
      </c>
      <c r="E208" t="s">
        <v>429</v>
      </c>
      <c r="F208" t="s">
        <v>19</v>
      </c>
      <c r="H208" t="s">
        <v>12</v>
      </c>
      <c r="J208" t="str">
        <f>IF(ISNUMBER(SEARCH("Episode",A208:A811)),A208:A811,"")</f>
        <v>Episode 171 - Secret Window</v>
      </c>
      <c r="M208" t="str">
        <f t="shared" si="3"/>
        <v>Secret Window</v>
      </c>
      <c r="N208" s="2" t="s">
        <v>1099</v>
      </c>
      <c r="O208" t="s">
        <v>1495</v>
      </c>
      <c r="P208" t="str">
        <f>VLOOKUP(J208,A207:K809,6,TRUE)</f>
        <v>Episode 3</v>
      </c>
    </row>
    <row r="209" spans="1:16" x14ac:dyDescent="0.25">
      <c r="A209" t="s">
        <v>432</v>
      </c>
      <c r="B209" s="1">
        <v>41908</v>
      </c>
      <c r="C209" t="s">
        <v>14</v>
      </c>
      <c r="D209" t="s">
        <v>433</v>
      </c>
      <c r="E209" t="s">
        <v>429</v>
      </c>
      <c r="G209" t="s">
        <v>319</v>
      </c>
      <c r="H209" t="s">
        <v>369</v>
      </c>
      <c r="J209" t="str">
        <f>IF(ISNUMBER(SEARCH("Episode",A209:A812)),A209:A812,"")</f>
        <v/>
      </c>
      <c r="M209" t="str">
        <f t="shared" si="3"/>
        <v/>
      </c>
      <c r="N209" s="2" t="s">
        <v>1100</v>
      </c>
      <c r="O209" t="s">
        <v>1496</v>
      </c>
      <c r="P209" t="e">
        <f>VLOOKUP(J209,A208:K810,6,TRUE)</f>
        <v>#N/A</v>
      </c>
    </row>
    <row r="210" spans="1:16" x14ac:dyDescent="0.25">
      <c r="A210" t="s">
        <v>434</v>
      </c>
      <c r="B210" s="1">
        <v>41911</v>
      </c>
      <c r="C210" t="s">
        <v>108</v>
      </c>
      <c r="E210" t="s">
        <v>429</v>
      </c>
      <c r="F210" t="s">
        <v>22</v>
      </c>
      <c r="H210" t="s">
        <v>12</v>
      </c>
      <c r="J210" t="str">
        <f>IF(ISNUMBER(SEARCH("Episode",A210:A813)),A210:A813,"")</f>
        <v>Episode 172 - Double Dragon</v>
      </c>
      <c r="M210" t="str">
        <f t="shared" si="3"/>
        <v>Double Dragon</v>
      </c>
      <c r="N210" s="2" t="s">
        <v>1101</v>
      </c>
      <c r="O210" t="s">
        <v>1497</v>
      </c>
      <c r="P210" t="str">
        <f>VLOOKUP(J210,A209:K811,6,TRUE)</f>
        <v>Episode 4</v>
      </c>
    </row>
    <row r="211" spans="1:16" x14ac:dyDescent="0.25">
      <c r="A211" t="s">
        <v>435</v>
      </c>
      <c r="B211" s="1">
        <v>41918</v>
      </c>
      <c r="C211" t="s">
        <v>108</v>
      </c>
      <c r="E211" t="s">
        <v>429</v>
      </c>
      <c r="F211" t="s">
        <v>25</v>
      </c>
      <c r="G211" t="s">
        <v>436</v>
      </c>
      <c r="H211" t="s">
        <v>12</v>
      </c>
      <c r="J211" t="str">
        <f>IF(ISNUMBER(SEARCH("Episode",A211:A814)),A211:A814,"")</f>
        <v>Episode 173 - C.H.U.D. II: Bud the C.H.U.D.</v>
      </c>
      <c r="M211" t="str">
        <f t="shared" si="3"/>
        <v>C.H.U.D. II: Bud the C.H.U.D.</v>
      </c>
      <c r="N211" s="2" t="s">
        <v>1102</v>
      </c>
      <c r="O211" t="s">
        <v>1498</v>
      </c>
      <c r="P211" t="str">
        <f>VLOOKUP(J211,A210:K812,6,TRUE)</f>
        <v>Episode 5</v>
      </c>
    </row>
    <row r="212" spans="1:16" x14ac:dyDescent="0.25">
      <c r="A212" t="s">
        <v>437</v>
      </c>
      <c r="B212" s="1">
        <v>41925</v>
      </c>
      <c r="C212" t="s">
        <v>108</v>
      </c>
      <c r="E212" t="s">
        <v>429</v>
      </c>
      <c r="F212" t="s">
        <v>28</v>
      </c>
      <c r="G212" t="s">
        <v>436</v>
      </c>
      <c r="H212" t="s">
        <v>12</v>
      </c>
      <c r="J212" t="str">
        <f>IF(ISNUMBER(SEARCH("Episode",A212:A815)),A212:A815,"")</f>
        <v>Episode 174 - Jason Goes to Hell: The Final Friday</v>
      </c>
      <c r="M212" t="str">
        <f t="shared" si="3"/>
        <v>Jason Goes to Hell: The Final Friday</v>
      </c>
      <c r="N212" s="2" t="s">
        <v>1103</v>
      </c>
      <c r="O212" t="s">
        <v>1499</v>
      </c>
      <c r="P212">
        <f>VLOOKUP(J212,A211:K813,6,TRUE)</f>
        <v>0</v>
      </c>
    </row>
    <row r="213" spans="1:16" x14ac:dyDescent="0.25">
      <c r="A213" t="s">
        <v>438</v>
      </c>
      <c r="B213" s="1">
        <v>41928</v>
      </c>
      <c r="C213" t="s">
        <v>108</v>
      </c>
      <c r="E213" t="s">
        <v>429</v>
      </c>
      <c r="G213" t="s">
        <v>436</v>
      </c>
      <c r="H213" t="s">
        <v>241</v>
      </c>
      <c r="J213" t="str">
        <f>IF(ISNUMBER(SEARCH("Episode",A213:A816)),A213:A816,"")</f>
        <v/>
      </c>
      <c r="M213" t="str">
        <f t="shared" si="3"/>
        <v/>
      </c>
      <c r="N213" s="2" t="s">
        <v>1104</v>
      </c>
      <c r="O213" t="s">
        <v>1500</v>
      </c>
      <c r="P213" t="e">
        <f>VLOOKUP(J213,A212:K814,6,TRUE)</f>
        <v>#N/A</v>
      </c>
    </row>
    <row r="214" spans="1:16" x14ac:dyDescent="0.25">
      <c r="A214" t="s">
        <v>439</v>
      </c>
      <c r="B214" s="1">
        <v>41932</v>
      </c>
      <c r="C214" t="s">
        <v>108</v>
      </c>
      <c r="E214" t="s">
        <v>429</v>
      </c>
      <c r="F214" t="s">
        <v>31</v>
      </c>
      <c r="G214" t="s">
        <v>436</v>
      </c>
      <c r="H214" t="s">
        <v>12</v>
      </c>
      <c r="J214" t="str">
        <f>IF(ISNUMBER(SEARCH("Episode",A214:A817)),A214:A817,"")</f>
        <v>Episode 175 - I Still Know What You Did Last Summer</v>
      </c>
      <c r="M214" t="str">
        <f t="shared" si="3"/>
        <v>I Still Know What You Did Last Summer</v>
      </c>
      <c r="N214" s="2" t="s">
        <v>1105</v>
      </c>
      <c r="O214" t="s">
        <v>1501</v>
      </c>
      <c r="P214">
        <f>VLOOKUP(J214,A213:K815,6,TRUE)</f>
        <v>0</v>
      </c>
    </row>
    <row r="215" spans="1:16" x14ac:dyDescent="0.25">
      <c r="A215" t="s">
        <v>440</v>
      </c>
      <c r="B215" s="1">
        <v>41939</v>
      </c>
      <c r="C215" t="s">
        <v>108</v>
      </c>
      <c r="E215" t="s">
        <v>429</v>
      </c>
      <c r="F215" t="s">
        <v>37</v>
      </c>
      <c r="G215" t="s">
        <v>436</v>
      </c>
      <c r="H215" t="s">
        <v>12</v>
      </c>
      <c r="J215" t="str">
        <f>IF(ISNUMBER(SEARCH("Episode",A215:A818)),A215:A818,"")</f>
        <v>Episode 176 - Child's Play 3</v>
      </c>
      <c r="M215" t="str">
        <f t="shared" si="3"/>
        <v>Child's Play 3</v>
      </c>
      <c r="N215" s="2" t="s">
        <v>1106</v>
      </c>
      <c r="O215" t="s">
        <v>1502</v>
      </c>
      <c r="P215" t="str">
        <f>VLOOKUP(J215,A214:K816,6,TRUE)</f>
        <v>Episode 8</v>
      </c>
    </row>
    <row r="216" spans="1:16" x14ac:dyDescent="0.25">
      <c r="A216" t="s">
        <v>441</v>
      </c>
      <c r="B216" s="1">
        <v>41943</v>
      </c>
      <c r="C216" t="s">
        <v>14</v>
      </c>
      <c r="D216" t="s">
        <v>442</v>
      </c>
      <c r="E216" t="s">
        <v>429</v>
      </c>
      <c r="G216" t="s">
        <v>443</v>
      </c>
      <c r="H216" t="s">
        <v>369</v>
      </c>
      <c r="J216" t="str">
        <f>IF(ISNUMBER(SEARCH("Episode",A216:A819)),A216:A819,"")</f>
        <v/>
      </c>
      <c r="M216" t="str">
        <f t="shared" si="3"/>
        <v/>
      </c>
      <c r="N216" s="2" t="s">
        <v>1107</v>
      </c>
      <c r="O216" t="s">
        <v>1503</v>
      </c>
      <c r="P216" t="e">
        <f>VLOOKUP(J216,A215:K817,6,TRUE)</f>
        <v>#N/A</v>
      </c>
    </row>
    <row r="217" spans="1:16" x14ac:dyDescent="0.25">
      <c r="A217" t="s">
        <v>444</v>
      </c>
      <c r="B217" s="1">
        <v>41946</v>
      </c>
      <c r="C217" t="s">
        <v>108</v>
      </c>
      <c r="E217" t="s">
        <v>429</v>
      </c>
      <c r="F217" t="s">
        <v>40</v>
      </c>
      <c r="G217" t="s">
        <v>381</v>
      </c>
      <c r="H217" t="s">
        <v>12</v>
      </c>
      <c r="J217" t="str">
        <f>IF(ISNUMBER(SEARCH("Episode",A217:A820)),A217:A820,"")</f>
        <v>Episode 177 - Wild in the Streets</v>
      </c>
      <c r="M217" t="str">
        <f t="shared" si="3"/>
        <v>Wild in the Streets</v>
      </c>
      <c r="N217" s="2" t="s">
        <v>1108</v>
      </c>
      <c r="O217" t="s">
        <v>1504</v>
      </c>
      <c r="P217">
        <f>VLOOKUP(J217,A216:K818,6,TRUE)</f>
        <v>0</v>
      </c>
    </row>
    <row r="218" spans="1:16" x14ac:dyDescent="0.25">
      <c r="A218" t="s">
        <v>445</v>
      </c>
      <c r="B218" s="1">
        <v>41953</v>
      </c>
      <c r="C218" t="s">
        <v>108</v>
      </c>
      <c r="E218" t="s">
        <v>429</v>
      </c>
      <c r="F218" t="s">
        <v>43</v>
      </c>
      <c r="G218" t="s">
        <v>381</v>
      </c>
      <c r="H218" t="s">
        <v>12</v>
      </c>
      <c r="J218" t="str">
        <f>IF(ISNUMBER(SEARCH("Episode",A218:A821)),A218:A821,"")</f>
        <v>Episode 178 - Johnny Mnemonic</v>
      </c>
      <c r="M218" t="str">
        <f t="shared" si="3"/>
        <v>Johnny Mnemonic</v>
      </c>
      <c r="N218" s="2" t="s">
        <v>1109</v>
      </c>
      <c r="O218" t="s">
        <v>1505</v>
      </c>
      <c r="P218">
        <f>VLOOKUP(J218,A217:K819,6,TRUE)</f>
        <v>0</v>
      </c>
    </row>
    <row r="219" spans="1:16" x14ac:dyDescent="0.25">
      <c r="A219" t="s">
        <v>446</v>
      </c>
      <c r="B219" s="1">
        <v>41955</v>
      </c>
      <c r="C219" t="s">
        <v>108</v>
      </c>
      <c r="E219" t="s">
        <v>429</v>
      </c>
      <c r="H219" t="s">
        <v>369</v>
      </c>
      <c r="J219" t="str">
        <f>IF(ISNUMBER(SEARCH("Episode",A219:A822)),A219:A822,"")</f>
        <v/>
      </c>
      <c r="M219" t="str">
        <f t="shared" si="3"/>
        <v/>
      </c>
      <c r="N219" s="2" t="s">
        <v>1110</v>
      </c>
      <c r="O219" t="s">
        <v>1506</v>
      </c>
      <c r="P219" t="e">
        <f>VLOOKUP(J219,A218:K820,6,TRUE)</f>
        <v>#N/A</v>
      </c>
    </row>
    <row r="220" spans="1:16" x14ac:dyDescent="0.25">
      <c r="A220" t="s">
        <v>447</v>
      </c>
      <c r="B220" s="1">
        <v>41960</v>
      </c>
      <c r="C220" t="s">
        <v>108</v>
      </c>
      <c r="E220" t="s">
        <v>429</v>
      </c>
      <c r="F220" t="s">
        <v>46</v>
      </c>
      <c r="G220" t="s">
        <v>381</v>
      </c>
      <c r="H220" t="s">
        <v>12</v>
      </c>
      <c r="J220" t="str">
        <f>IF(ISNUMBER(SEARCH("Episode",A220:A823)),A220:A823,"")</f>
        <v>Episode 179 - The Hand That Rocks the Cradle</v>
      </c>
      <c r="M220" t="str">
        <f t="shared" si="3"/>
        <v>The Hand That Rocks the Cradle</v>
      </c>
      <c r="N220" s="2" t="s">
        <v>1111</v>
      </c>
      <c r="O220" t="s">
        <v>1507</v>
      </c>
      <c r="P220">
        <f>VLOOKUP(J220,A219:K821,6,TRUE)</f>
        <v>0</v>
      </c>
    </row>
    <row r="221" spans="1:16" x14ac:dyDescent="0.25">
      <c r="A221" t="s">
        <v>448</v>
      </c>
      <c r="B221" s="1">
        <v>41962</v>
      </c>
      <c r="C221" t="s">
        <v>108</v>
      </c>
      <c r="E221" t="s">
        <v>429</v>
      </c>
      <c r="H221" t="s">
        <v>62</v>
      </c>
      <c r="J221" t="str">
        <f>IF(ISNUMBER(SEARCH("Episode",A221:A824)),A221:A824,"")</f>
        <v/>
      </c>
      <c r="M221" t="str">
        <f t="shared" si="3"/>
        <v/>
      </c>
      <c r="N221" s="2" t="s">
        <v>1112</v>
      </c>
      <c r="O221" t="s">
        <v>1508</v>
      </c>
      <c r="P221" t="e">
        <f>VLOOKUP(J221,A220:K822,6,TRUE)</f>
        <v>#N/A</v>
      </c>
    </row>
    <row r="222" spans="1:16" x14ac:dyDescent="0.25">
      <c r="A222" t="s">
        <v>449</v>
      </c>
      <c r="B222" s="1">
        <v>41967</v>
      </c>
      <c r="C222" t="s">
        <v>108</v>
      </c>
      <c r="E222" t="s">
        <v>429</v>
      </c>
      <c r="F222" t="s">
        <v>49</v>
      </c>
      <c r="G222" t="s">
        <v>381</v>
      </c>
      <c r="H222" t="s">
        <v>12</v>
      </c>
      <c r="J222" t="str">
        <f>IF(ISNUMBER(SEARCH("Episode",A222:A825)),A222:A825,"")</f>
        <v>Episode 180 - Buried Alive</v>
      </c>
      <c r="M222" t="str">
        <f t="shared" si="3"/>
        <v>Buried Alive</v>
      </c>
      <c r="N222" s="2" t="s">
        <v>1113</v>
      </c>
      <c r="O222" t="s">
        <v>1509</v>
      </c>
      <c r="P222" t="str">
        <f>VLOOKUP(J222,A221:K823,6,TRUE)</f>
        <v>Episode 12</v>
      </c>
    </row>
    <row r="223" spans="1:16" x14ac:dyDescent="0.25">
      <c r="A223" t="s">
        <v>450</v>
      </c>
      <c r="B223" s="1">
        <v>41970</v>
      </c>
      <c r="C223" t="s">
        <v>14</v>
      </c>
      <c r="D223" t="s">
        <v>451</v>
      </c>
      <c r="E223" t="s">
        <v>429</v>
      </c>
      <c r="G223" t="s">
        <v>319</v>
      </c>
      <c r="H223" t="s">
        <v>369</v>
      </c>
      <c r="J223" t="str">
        <f>IF(ISNUMBER(SEARCH("Episode",A223:A826)),A223:A826,"")</f>
        <v/>
      </c>
      <c r="M223" t="str">
        <f t="shared" si="3"/>
        <v/>
      </c>
      <c r="N223" s="2" t="s">
        <v>1114</v>
      </c>
      <c r="O223" t="s">
        <v>1510</v>
      </c>
      <c r="P223" t="e">
        <f>VLOOKUP(J223,A222:K824,6,TRUE)</f>
        <v>#N/A</v>
      </c>
    </row>
    <row r="224" spans="1:16" x14ac:dyDescent="0.25">
      <c r="A224" t="s">
        <v>452</v>
      </c>
      <c r="B224" s="1">
        <v>41971</v>
      </c>
      <c r="C224" t="s">
        <v>108</v>
      </c>
      <c r="E224" t="s">
        <v>429</v>
      </c>
      <c r="H224" t="s">
        <v>241</v>
      </c>
      <c r="J224" t="str">
        <f>IF(ISNUMBER(SEARCH("Episode",A224:A827)),A224:A827,"")</f>
        <v/>
      </c>
      <c r="M224" t="str">
        <f t="shared" si="3"/>
        <v/>
      </c>
      <c r="N224" s="2" t="s">
        <v>1115</v>
      </c>
      <c r="O224" t="s">
        <v>1511</v>
      </c>
      <c r="P224" t="e">
        <f>VLOOKUP(J224,A223:K825,6,TRUE)</f>
        <v>#N/A</v>
      </c>
    </row>
    <row r="225" spans="1:16" x14ac:dyDescent="0.25">
      <c r="A225" t="s">
        <v>453</v>
      </c>
      <c r="B225" s="1">
        <v>41974</v>
      </c>
      <c r="C225" t="s">
        <v>108</v>
      </c>
      <c r="E225" t="s">
        <v>429</v>
      </c>
      <c r="F225" t="s">
        <v>52</v>
      </c>
      <c r="H225" t="s">
        <v>12</v>
      </c>
      <c r="J225" t="str">
        <f>IF(ISNUMBER(SEARCH("Episode",A225:A828)),A225:A828,"")</f>
        <v>Episode 181 - Three Men and a Baby</v>
      </c>
      <c r="M225" t="str">
        <f t="shared" si="3"/>
        <v>Three Men and a Baby</v>
      </c>
      <c r="N225" s="2" t="s">
        <v>1116</v>
      </c>
      <c r="O225" t="s">
        <v>1512</v>
      </c>
      <c r="P225">
        <f>VLOOKUP(J225,A224:K826,6,TRUE)</f>
        <v>0</v>
      </c>
    </row>
    <row r="226" spans="1:16" x14ac:dyDescent="0.25">
      <c r="A226" t="s">
        <v>454</v>
      </c>
      <c r="B226" s="1">
        <v>41981</v>
      </c>
      <c r="C226" t="s">
        <v>108</v>
      </c>
      <c r="E226" t="s">
        <v>429</v>
      </c>
      <c r="F226" t="s">
        <v>56</v>
      </c>
      <c r="H226" t="s">
        <v>12</v>
      </c>
      <c r="J226" t="str">
        <f>IF(ISNUMBER(SEARCH("Episode",A226:A829)),A226:A829,"")</f>
        <v>Episode 182 - Jingle All the Way 2</v>
      </c>
      <c r="M226" t="str">
        <f t="shared" si="3"/>
        <v>Jingle All the Way 2</v>
      </c>
      <c r="N226" s="2" t="s">
        <v>1117</v>
      </c>
      <c r="O226" t="s">
        <v>1513</v>
      </c>
      <c r="P226">
        <f>VLOOKUP(J226,A225:K827,6,TRUE)</f>
        <v>0</v>
      </c>
    </row>
    <row r="227" spans="1:16" x14ac:dyDescent="0.25">
      <c r="A227" t="s">
        <v>455</v>
      </c>
      <c r="B227" s="1">
        <v>41988</v>
      </c>
      <c r="C227" t="s">
        <v>108</v>
      </c>
      <c r="E227" t="s">
        <v>429</v>
      </c>
      <c r="F227" t="s">
        <v>59</v>
      </c>
      <c r="H227" t="s">
        <v>12</v>
      </c>
      <c r="J227" t="str">
        <f>IF(ISNUMBER(SEARCH("Episode",A227:A830)),A227:A830,"")</f>
        <v>Episode 183 - Super Mario Bros.</v>
      </c>
      <c r="M227" t="str">
        <f t="shared" si="3"/>
        <v>Super Mario Bros.</v>
      </c>
      <c r="N227" s="2" t="s">
        <v>1118</v>
      </c>
      <c r="O227" t="s">
        <v>1514</v>
      </c>
      <c r="P227">
        <f>VLOOKUP(J227,A226:K828,6,TRUE)</f>
        <v>0</v>
      </c>
    </row>
    <row r="228" spans="1:16" x14ac:dyDescent="0.25">
      <c r="A228" t="s">
        <v>456</v>
      </c>
      <c r="B228" s="1">
        <v>41991</v>
      </c>
      <c r="C228" t="s">
        <v>108</v>
      </c>
      <c r="E228" t="s">
        <v>429</v>
      </c>
      <c r="H228" t="s">
        <v>34</v>
      </c>
      <c r="J228" t="str">
        <f>IF(ISNUMBER(SEARCH("Episode",A228:A831)),A228:A831,"")</f>
        <v/>
      </c>
      <c r="M228" t="str">
        <f t="shared" si="3"/>
        <v/>
      </c>
      <c r="N228" s="2" t="s">
        <v>1119</v>
      </c>
      <c r="O228" t="s">
        <v>1515</v>
      </c>
      <c r="P228" t="e">
        <f>VLOOKUP(J228,A227:K829,6,TRUE)</f>
        <v>#N/A</v>
      </c>
    </row>
    <row r="229" spans="1:16" x14ac:dyDescent="0.25">
      <c r="A229" t="s">
        <v>457</v>
      </c>
      <c r="B229" s="1">
        <v>41992</v>
      </c>
      <c r="C229" t="s">
        <v>233</v>
      </c>
      <c r="D229" t="s">
        <v>458</v>
      </c>
      <c r="E229" t="s">
        <v>429</v>
      </c>
      <c r="H229" t="s">
        <v>236</v>
      </c>
      <c r="J229" t="str">
        <f>IF(ISNUMBER(SEARCH("Episode",A229:A832)),A229:A832,"")</f>
        <v/>
      </c>
      <c r="M229" t="str">
        <f t="shared" si="3"/>
        <v/>
      </c>
      <c r="N229" s="2" t="s">
        <v>1120</v>
      </c>
      <c r="O229" t="s">
        <v>1516</v>
      </c>
      <c r="P229" t="e">
        <f>VLOOKUP(J229,A228:K830,6,TRUE)</f>
        <v>#N/A</v>
      </c>
    </row>
    <row r="230" spans="1:16" x14ac:dyDescent="0.25">
      <c r="A230" t="s">
        <v>459</v>
      </c>
      <c r="B230" s="1">
        <v>41994</v>
      </c>
      <c r="C230" t="s">
        <v>108</v>
      </c>
      <c r="E230" t="s">
        <v>429</v>
      </c>
      <c r="H230" t="s">
        <v>241</v>
      </c>
      <c r="J230" t="str">
        <f>IF(ISNUMBER(SEARCH("Episode",A230:A833)),A230:A833,"")</f>
        <v/>
      </c>
      <c r="M230" t="str">
        <f t="shared" si="3"/>
        <v/>
      </c>
      <c r="N230" s="2" t="s">
        <v>1121</v>
      </c>
      <c r="O230" t="s">
        <v>1517</v>
      </c>
      <c r="P230" t="e">
        <f>VLOOKUP(J230,A229:K831,6,TRUE)</f>
        <v>#N/A</v>
      </c>
    </row>
    <row r="231" spans="1:16" x14ac:dyDescent="0.25">
      <c r="A231" t="s">
        <v>460</v>
      </c>
      <c r="B231" s="1">
        <v>41995</v>
      </c>
      <c r="C231" t="s">
        <v>108</v>
      </c>
      <c r="E231" t="s">
        <v>429</v>
      </c>
      <c r="F231" t="s">
        <v>65</v>
      </c>
      <c r="H231" t="s">
        <v>12</v>
      </c>
      <c r="J231" t="str">
        <f>IF(ISNUMBER(SEARCH("Episode",A231:A834)),A231:A834,"")</f>
        <v>Episode 184 - Look Who's Talking Now</v>
      </c>
      <c r="M231" t="str">
        <f t="shared" si="3"/>
        <v>Look Who's Talking Now</v>
      </c>
      <c r="N231" s="2" t="s">
        <v>1122</v>
      </c>
      <c r="O231" t="s">
        <v>1518</v>
      </c>
      <c r="P231">
        <f>VLOOKUP(J231,A230:K832,6,TRUE)</f>
        <v>0</v>
      </c>
    </row>
    <row r="232" spans="1:16" x14ac:dyDescent="0.25">
      <c r="A232" t="s">
        <v>461</v>
      </c>
      <c r="B232" s="1">
        <v>41997</v>
      </c>
      <c r="C232" t="s">
        <v>108</v>
      </c>
      <c r="E232" t="s">
        <v>429</v>
      </c>
      <c r="H232" t="s">
        <v>369</v>
      </c>
      <c r="J232" t="str">
        <f>IF(ISNUMBER(SEARCH("Episode",A232:A835)),A232:A835,"")</f>
        <v/>
      </c>
      <c r="M232" t="str">
        <f t="shared" si="3"/>
        <v/>
      </c>
      <c r="N232" s="2" t="s">
        <v>1123</v>
      </c>
      <c r="O232" t="s">
        <v>1686</v>
      </c>
      <c r="P232" t="e">
        <f>VLOOKUP(J232,A231:K833,6,TRUE)</f>
        <v>#N/A</v>
      </c>
    </row>
    <row r="233" spans="1:16" x14ac:dyDescent="0.25">
      <c r="A233" t="s">
        <v>462</v>
      </c>
      <c r="B233" s="1">
        <v>42009</v>
      </c>
      <c r="C233" t="s">
        <v>108</v>
      </c>
      <c r="E233" t="s">
        <v>429</v>
      </c>
      <c r="F233" t="s">
        <v>68</v>
      </c>
      <c r="G233" t="s">
        <v>463</v>
      </c>
      <c r="H233" t="s">
        <v>12</v>
      </c>
      <c r="J233" t="str">
        <f>IF(ISNUMBER(SEARCH("Episode",A233:A836)),A233:A836,"")</f>
        <v>Episode 185 - I, Frankenstein</v>
      </c>
      <c r="M233" t="str">
        <f t="shared" si="3"/>
        <v>I, Frankenstein</v>
      </c>
      <c r="N233" s="2" t="s">
        <v>1124</v>
      </c>
      <c r="O233" t="s">
        <v>1519</v>
      </c>
      <c r="P233">
        <f>VLOOKUP(J233,A232:K834,6,TRUE)</f>
        <v>0</v>
      </c>
    </row>
    <row r="234" spans="1:16" x14ac:dyDescent="0.25">
      <c r="A234" t="s">
        <v>464</v>
      </c>
      <c r="B234" s="1">
        <v>42016</v>
      </c>
      <c r="C234" t="s">
        <v>108</v>
      </c>
      <c r="E234" t="s">
        <v>429</v>
      </c>
      <c r="F234" t="s">
        <v>71</v>
      </c>
      <c r="G234" t="s">
        <v>463</v>
      </c>
      <c r="H234" t="s">
        <v>12</v>
      </c>
      <c r="J234" t="str">
        <f>IF(ISNUMBER(SEARCH("Episode",A234:A837)),A234:A837,"")</f>
        <v>Episode 186 - Winter's Tale</v>
      </c>
      <c r="M234" t="str">
        <f t="shared" si="3"/>
        <v>Winter's Tale</v>
      </c>
      <c r="N234" s="2" t="s">
        <v>1125</v>
      </c>
      <c r="O234" t="s">
        <v>1520</v>
      </c>
      <c r="P234" t="str">
        <f>VLOOKUP(J234,A233:K835,6,TRUE)</f>
        <v>Episode 18</v>
      </c>
    </row>
    <row r="235" spans="1:16" x14ac:dyDescent="0.25">
      <c r="A235" t="s">
        <v>465</v>
      </c>
      <c r="B235" s="1">
        <v>42019</v>
      </c>
      <c r="C235" t="s">
        <v>14</v>
      </c>
      <c r="D235" t="s">
        <v>466</v>
      </c>
      <c r="E235" t="s">
        <v>429</v>
      </c>
      <c r="G235" t="s">
        <v>467</v>
      </c>
      <c r="H235" t="s">
        <v>369</v>
      </c>
      <c r="J235" t="str">
        <f>IF(ISNUMBER(SEARCH("Episode",A235:A838)),A235:A838,"")</f>
        <v/>
      </c>
      <c r="M235" t="str">
        <f t="shared" si="3"/>
        <v/>
      </c>
      <c r="N235" s="2" t="s">
        <v>1126</v>
      </c>
      <c r="O235" t="s">
        <v>1521</v>
      </c>
      <c r="P235" t="e">
        <f>VLOOKUP(J235,A234:K836,6,TRUE)</f>
        <v>#N/A</v>
      </c>
    </row>
    <row r="236" spans="1:16" x14ac:dyDescent="0.25">
      <c r="A236" t="s">
        <v>468</v>
      </c>
      <c r="B236" s="1">
        <v>42020</v>
      </c>
      <c r="C236" t="s">
        <v>14</v>
      </c>
      <c r="D236" t="s">
        <v>469</v>
      </c>
      <c r="E236" t="s">
        <v>429</v>
      </c>
      <c r="G236" t="s">
        <v>319</v>
      </c>
      <c r="H236" t="s">
        <v>34</v>
      </c>
      <c r="J236" t="str">
        <f>IF(ISNUMBER(SEARCH("Episode",A236:A839)),A236:A839,"")</f>
        <v/>
      </c>
      <c r="M236" t="str">
        <f t="shared" si="3"/>
        <v/>
      </c>
      <c r="N236" s="2" t="s">
        <v>1127</v>
      </c>
      <c r="O236" t="s">
        <v>1522</v>
      </c>
      <c r="P236" t="e">
        <f>VLOOKUP(J236,A235:K837,6,TRUE)</f>
        <v>#N/A</v>
      </c>
    </row>
    <row r="237" spans="1:16" x14ac:dyDescent="0.25">
      <c r="A237" t="s">
        <v>470</v>
      </c>
      <c r="B237" s="1">
        <v>42023</v>
      </c>
      <c r="C237" t="s">
        <v>108</v>
      </c>
      <c r="E237" t="s">
        <v>429</v>
      </c>
      <c r="F237" t="s">
        <v>74</v>
      </c>
      <c r="G237" t="s">
        <v>463</v>
      </c>
      <c r="H237" t="s">
        <v>12</v>
      </c>
      <c r="J237" t="str">
        <f>IF(ISNUMBER(SEARCH("Episode",A237:A840)),A237:A840,"")</f>
        <v>Episode 187 - Dracula Untold</v>
      </c>
      <c r="M237" t="str">
        <f t="shared" si="3"/>
        <v>Dracula Untold</v>
      </c>
      <c r="N237" s="2" t="s">
        <v>1128</v>
      </c>
      <c r="O237" t="s">
        <v>1523</v>
      </c>
      <c r="P237" t="str">
        <f>VLOOKUP(J237,A236:K838,6,TRUE)</f>
        <v>Episode 19</v>
      </c>
    </row>
    <row r="238" spans="1:16" x14ac:dyDescent="0.25">
      <c r="A238" t="s">
        <v>471</v>
      </c>
      <c r="B238" s="1">
        <v>42030</v>
      </c>
      <c r="C238" t="s">
        <v>108</v>
      </c>
      <c r="E238" t="s">
        <v>429</v>
      </c>
      <c r="F238" t="s">
        <v>79</v>
      </c>
      <c r="G238" t="s">
        <v>463</v>
      </c>
      <c r="H238" t="s">
        <v>12</v>
      </c>
      <c r="J238" t="str">
        <f>IF(ISNUMBER(SEARCH("Episode",A238:A841)),A238:A841,"")</f>
        <v>Episode 188 - Sabotage</v>
      </c>
      <c r="M238" t="str">
        <f t="shared" si="3"/>
        <v>Sabotage</v>
      </c>
      <c r="N238" s="2" t="s">
        <v>1129</v>
      </c>
      <c r="O238" t="s">
        <v>1524</v>
      </c>
      <c r="P238" t="str">
        <f>VLOOKUP(J238,A237:K839,6,TRUE)</f>
        <v>Episode 20</v>
      </c>
    </row>
    <row r="239" spans="1:16" x14ac:dyDescent="0.25">
      <c r="A239" t="s">
        <v>472</v>
      </c>
      <c r="B239" s="1">
        <v>42034</v>
      </c>
      <c r="C239" t="s">
        <v>108</v>
      </c>
      <c r="E239" t="s">
        <v>429</v>
      </c>
      <c r="H239" t="s">
        <v>241</v>
      </c>
      <c r="J239" t="str">
        <f>IF(ISNUMBER(SEARCH("Episode",A239:A842)),A239:A842,"")</f>
        <v/>
      </c>
      <c r="M239" t="str">
        <f t="shared" si="3"/>
        <v/>
      </c>
      <c r="N239" s="2" t="s">
        <v>1130</v>
      </c>
      <c r="O239" t="s">
        <v>1525</v>
      </c>
      <c r="P239" t="e">
        <f>VLOOKUP(J239,A238:K840,6,TRUE)</f>
        <v>#N/A</v>
      </c>
    </row>
    <row r="240" spans="1:16" x14ac:dyDescent="0.25">
      <c r="A240" t="s">
        <v>473</v>
      </c>
      <c r="B240" s="1">
        <v>42037</v>
      </c>
      <c r="C240" t="s">
        <v>108</v>
      </c>
      <c r="E240" t="s">
        <v>429</v>
      </c>
      <c r="F240" t="s">
        <v>85</v>
      </c>
      <c r="H240" t="s">
        <v>12</v>
      </c>
      <c r="J240" t="str">
        <f>IF(ISNUMBER(SEARCH("Episode",A240:A843)),A240:A843,"")</f>
        <v>Episode 189 - Taking Lives</v>
      </c>
      <c r="M240" t="str">
        <f t="shared" si="3"/>
        <v>Taking Lives</v>
      </c>
      <c r="N240" s="2" t="s">
        <v>1131</v>
      </c>
      <c r="O240" t="s">
        <v>1526</v>
      </c>
      <c r="P240">
        <f>VLOOKUP(J240,A239:K841,6,TRUE)</f>
        <v>0</v>
      </c>
    </row>
    <row r="241" spans="1:16" x14ac:dyDescent="0.25">
      <c r="A241" t="s">
        <v>474</v>
      </c>
      <c r="B241" s="1">
        <v>42044</v>
      </c>
      <c r="C241" t="s">
        <v>108</v>
      </c>
      <c r="E241" t="s">
        <v>429</v>
      </c>
      <c r="F241" t="s">
        <v>143</v>
      </c>
      <c r="H241" t="s">
        <v>12</v>
      </c>
      <c r="J241" t="str">
        <f>IF(ISNUMBER(SEARCH("Episode",A241:A844)),A241:A844,"")</f>
        <v>Episode 190 - Stigmata</v>
      </c>
      <c r="M241" t="str">
        <f t="shared" si="3"/>
        <v>Stigmata</v>
      </c>
      <c r="N241" s="2" t="s">
        <v>1132</v>
      </c>
      <c r="O241" t="s">
        <v>1527</v>
      </c>
      <c r="P241">
        <f>VLOOKUP(J241,A240:K842,6,TRUE)</f>
        <v>0</v>
      </c>
    </row>
    <row r="242" spans="1:16" x14ac:dyDescent="0.25">
      <c r="A242" t="s">
        <v>475</v>
      </c>
      <c r="B242" s="1">
        <v>42046</v>
      </c>
      <c r="C242" t="s">
        <v>108</v>
      </c>
      <c r="E242" t="s">
        <v>429</v>
      </c>
      <c r="H242" t="s">
        <v>369</v>
      </c>
      <c r="J242" t="str">
        <f>IF(ISNUMBER(SEARCH("Episode",A242:A845)),A242:A845,"")</f>
        <v/>
      </c>
      <c r="M242" t="str">
        <f t="shared" si="3"/>
        <v/>
      </c>
      <c r="N242" s="2" t="s">
        <v>1133</v>
      </c>
      <c r="O242" t="s">
        <v>1528</v>
      </c>
      <c r="P242" t="e">
        <f>VLOOKUP(J242,A241:K843,6,TRUE)</f>
        <v>#N/A</v>
      </c>
    </row>
    <row r="243" spans="1:16" x14ac:dyDescent="0.25">
      <c r="A243" t="s">
        <v>476</v>
      </c>
      <c r="B243" s="1">
        <v>42051</v>
      </c>
      <c r="C243" t="s">
        <v>108</v>
      </c>
      <c r="E243" t="s">
        <v>429</v>
      </c>
      <c r="F243" t="s">
        <v>145</v>
      </c>
      <c r="H243" t="s">
        <v>12</v>
      </c>
      <c r="J243" t="str">
        <f>IF(ISNUMBER(SEARCH("Episode",A243:A846)),A243:A846,"")</f>
        <v>Episode 191 - Seventh Son</v>
      </c>
      <c r="M243" t="str">
        <f t="shared" si="3"/>
        <v>Seventh Son</v>
      </c>
      <c r="N243" s="2" t="s">
        <v>1134</v>
      </c>
      <c r="O243" t="s">
        <v>1529</v>
      </c>
      <c r="P243" t="str">
        <f>VLOOKUP(J243,A242:K844,6,TRUE)</f>
        <v>Episode 23</v>
      </c>
    </row>
    <row r="244" spans="1:16" x14ac:dyDescent="0.25">
      <c r="A244" t="s">
        <v>477</v>
      </c>
      <c r="B244" s="1">
        <v>42054</v>
      </c>
      <c r="C244" t="s">
        <v>108</v>
      </c>
      <c r="E244" t="s">
        <v>429</v>
      </c>
      <c r="H244" t="s">
        <v>241</v>
      </c>
      <c r="J244" t="str">
        <f>IF(ISNUMBER(SEARCH("Episode",A244:A847)),A244:A847,"")</f>
        <v/>
      </c>
      <c r="M244" t="str">
        <f t="shared" si="3"/>
        <v/>
      </c>
      <c r="N244" s="2" t="s">
        <v>1135</v>
      </c>
      <c r="O244" t="s">
        <v>1530</v>
      </c>
      <c r="P244" t="e">
        <f>VLOOKUP(J244,A243:K845,6,TRUE)</f>
        <v>#N/A</v>
      </c>
    </row>
    <row r="245" spans="1:16" x14ac:dyDescent="0.25">
      <c r="A245" t="s">
        <v>478</v>
      </c>
      <c r="B245" s="1">
        <v>42058</v>
      </c>
      <c r="C245" t="s">
        <v>108</v>
      </c>
      <c r="E245" t="s">
        <v>429</v>
      </c>
      <c r="F245" t="s">
        <v>148</v>
      </c>
      <c r="H245" t="s">
        <v>12</v>
      </c>
      <c r="J245" t="str">
        <f>IF(ISNUMBER(SEARCH("Episode",A245:A848)),A245:A848,"")</f>
        <v>Episode 192 - White Noise</v>
      </c>
      <c r="M245" t="str">
        <f t="shared" si="3"/>
        <v>White Noise</v>
      </c>
      <c r="N245" s="2" t="s">
        <v>1136</v>
      </c>
      <c r="O245" t="s">
        <v>1531</v>
      </c>
      <c r="P245">
        <f>VLOOKUP(J245,A244:K846,6,TRUE)</f>
        <v>0</v>
      </c>
    </row>
    <row r="246" spans="1:16" x14ac:dyDescent="0.25">
      <c r="A246" t="s">
        <v>479</v>
      </c>
      <c r="B246" s="1">
        <v>42065</v>
      </c>
      <c r="C246" t="s">
        <v>108</v>
      </c>
      <c r="E246" t="s">
        <v>429</v>
      </c>
      <c r="F246" t="s">
        <v>151</v>
      </c>
      <c r="H246" t="s">
        <v>12</v>
      </c>
      <c r="J246" t="str">
        <f>IF(ISNUMBER(SEARCH("Episode",A246:A849)),A246:A849,"")</f>
        <v>Episode 193 - Teen Wolf Too</v>
      </c>
      <c r="M246" t="str">
        <f t="shared" si="3"/>
        <v>Teen Wolf Too</v>
      </c>
      <c r="N246" s="2" t="s">
        <v>1137</v>
      </c>
      <c r="O246" t="s">
        <v>1532</v>
      </c>
      <c r="P246">
        <f>VLOOKUP(J246,A245:K847,6,TRUE)</f>
        <v>0</v>
      </c>
    </row>
    <row r="247" spans="1:16" x14ac:dyDescent="0.25">
      <c r="A247" t="s">
        <v>480</v>
      </c>
      <c r="B247" s="1">
        <v>42072</v>
      </c>
      <c r="C247" t="s">
        <v>108</v>
      </c>
      <c r="E247" t="s">
        <v>429</v>
      </c>
      <c r="F247" t="s">
        <v>154</v>
      </c>
      <c r="H247" t="s">
        <v>12</v>
      </c>
      <c r="J247" t="str">
        <f>IF(ISNUMBER(SEARCH("Episode",A247:A850)),A247:A850,"")</f>
        <v>Episode 194 - Fatal Beauty</v>
      </c>
      <c r="M247" t="str">
        <f t="shared" si="3"/>
        <v>Fatal Beauty</v>
      </c>
      <c r="N247" s="2" t="s">
        <v>1138</v>
      </c>
      <c r="O247" t="s">
        <v>1533</v>
      </c>
      <c r="P247">
        <f>VLOOKUP(J247,A246:K848,6,TRUE)</f>
        <v>0</v>
      </c>
    </row>
    <row r="248" spans="1:16" x14ac:dyDescent="0.25">
      <c r="A248" t="s">
        <v>481</v>
      </c>
      <c r="B248" s="1">
        <v>42079</v>
      </c>
      <c r="C248" t="s">
        <v>108</v>
      </c>
      <c r="E248" t="s">
        <v>429</v>
      </c>
      <c r="F248" t="s">
        <v>157</v>
      </c>
      <c r="H248" t="s">
        <v>12</v>
      </c>
      <c r="J248" t="str">
        <f>IF(ISNUMBER(SEARCH("Episode",A248:A851)),A248:A851,"")</f>
        <v>Episode 195 - Moontrap</v>
      </c>
      <c r="M248" t="str">
        <f t="shared" si="3"/>
        <v>Moontrap</v>
      </c>
      <c r="N248" s="2" t="s">
        <v>1139</v>
      </c>
      <c r="O248" t="s">
        <v>1534</v>
      </c>
      <c r="P248" t="str">
        <f>VLOOKUP(J248,A247:K849,6,TRUE)</f>
        <v>Episode 27</v>
      </c>
    </row>
    <row r="249" spans="1:16" x14ac:dyDescent="0.25">
      <c r="A249" t="s">
        <v>482</v>
      </c>
      <c r="B249" s="1">
        <v>42082</v>
      </c>
      <c r="C249" t="s">
        <v>108</v>
      </c>
      <c r="E249" t="s">
        <v>429</v>
      </c>
      <c r="H249" t="s">
        <v>369</v>
      </c>
      <c r="J249" t="str">
        <f>IF(ISNUMBER(SEARCH("Episode",A249:A852)),A249:A852,"")</f>
        <v/>
      </c>
      <c r="M249" t="str">
        <f t="shared" si="3"/>
        <v/>
      </c>
      <c r="N249" s="2" t="s">
        <v>1140</v>
      </c>
      <c r="O249" t="s">
        <v>1535</v>
      </c>
      <c r="P249" t="e">
        <f>VLOOKUP(J249,A248:K850,6,TRUE)</f>
        <v>#N/A</v>
      </c>
    </row>
    <row r="250" spans="1:16" x14ac:dyDescent="0.25">
      <c r="A250" t="s">
        <v>483</v>
      </c>
      <c r="B250" s="1">
        <v>42086</v>
      </c>
      <c r="C250" t="s">
        <v>108</v>
      </c>
      <c r="E250" t="s">
        <v>429</v>
      </c>
      <c r="F250" t="s">
        <v>160</v>
      </c>
      <c r="H250" t="s">
        <v>12</v>
      </c>
      <c r="J250" t="str">
        <f>IF(ISNUMBER(SEARCH("Episode",A250:A853)),A250:A853,"")</f>
        <v>Episode 196 - Twisted</v>
      </c>
      <c r="M250" t="str">
        <f t="shared" si="3"/>
        <v>Twisted</v>
      </c>
      <c r="N250" s="2" t="s">
        <v>1141</v>
      </c>
      <c r="O250" t="s">
        <v>1536</v>
      </c>
      <c r="P250">
        <f>VLOOKUP(J250,A249:K851,6,TRUE)</f>
        <v>0</v>
      </c>
    </row>
    <row r="251" spans="1:16" x14ac:dyDescent="0.25">
      <c r="A251" t="s">
        <v>484</v>
      </c>
      <c r="B251" s="1">
        <v>42093</v>
      </c>
      <c r="C251" t="s">
        <v>108</v>
      </c>
      <c r="E251" t="s">
        <v>429</v>
      </c>
      <c r="F251" t="s">
        <v>163</v>
      </c>
      <c r="H251" t="s">
        <v>12</v>
      </c>
      <c r="J251" t="str">
        <f>IF(ISNUMBER(SEARCH("Episode",A251:A854)),A251:A854,"")</f>
        <v>Episode 197 - Next of Kin</v>
      </c>
      <c r="M251" t="str">
        <f t="shared" si="3"/>
        <v>Next of Kin</v>
      </c>
      <c r="N251" s="2" t="s">
        <v>1142</v>
      </c>
      <c r="O251" t="s">
        <v>1537</v>
      </c>
      <c r="P251">
        <f>VLOOKUP(J251,A250:K852,6,TRUE)</f>
        <v>0</v>
      </c>
    </row>
    <row r="252" spans="1:16" x14ac:dyDescent="0.25">
      <c r="A252" t="s">
        <v>485</v>
      </c>
      <c r="B252" s="1">
        <v>42093</v>
      </c>
      <c r="C252" t="s">
        <v>108</v>
      </c>
      <c r="E252" t="s">
        <v>429</v>
      </c>
      <c r="H252" t="s">
        <v>241</v>
      </c>
      <c r="J252" t="str">
        <f>IF(ISNUMBER(SEARCH("Episode",A252:A855)),A252:A855,"")</f>
        <v/>
      </c>
      <c r="M252" t="str">
        <f t="shared" si="3"/>
        <v/>
      </c>
      <c r="N252" s="2" t="s">
        <v>1143</v>
      </c>
      <c r="O252" t="s">
        <v>1538</v>
      </c>
      <c r="P252" t="e">
        <f>VLOOKUP(J252,A251:K853,6,TRUE)</f>
        <v>#N/A</v>
      </c>
    </row>
    <row r="253" spans="1:16" x14ac:dyDescent="0.25">
      <c r="A253" t="s">
        <v>486</v>
      </c>
      <c r="B253" s="1">
        <v>42100</v>
      </c>
      <c r="C253" t="s">
        <v>108</v>
      </c>
      <c r="E253" t="s">
        <v>429</v>
      </c>
      <c r="F253" t="s">
        <v>166</v>
      </c>
      <c r="H253" t="s">
        <v>12</v>
      </c>
      <c r="J253" t="str">
        <f>IF(ISNUMBER(SEARCH("Episode",A253:A856)),A253:A856,"")</f>
        <v>Episode 198 - The Juror</v>
      </c>
      <c r="M253" t="str">
        <f t="shared" si="3"/>
        <v>The Juror</v>
      </c>
      <c r="N253" s="2" t="s">
        <v>1144</v>
      </c>
      <c r="O253" t="s">
        <v>1539</v>
      </c>
      <c r="P253" t="str">
        <f>VLOOKUP(J253,A252:K854,6,TRUE)</f>
        <v>Episode 30</v>
      </c>
    </row>
    <row r="254" spans="1:16" x14ac:dyDescent="0.25">
      <c r="A254" t="s">
        <v>487</v>
      </c>
      <c r="B254" s="1">
        <v>42107</v>
      </c>
      <c r="C254" t="s">
        <v>108</v>
      </c>
      <c r="E254" t="s">
        <v>429</v>
      </c>
      <c r="F254" t="s">
        <v>169</v>
      </c>
      <c r="H254" t="s">
        <v>12</v>
      </c>
      <c r="J254" t="str">
        <f>IF(ISNUMBER(SEARCH("Episode",A254:A857)),A254:A857,"")</f>
        <v>Episode 199 - Face/Off</v>
      </c>
      <c r="M254" t="str">
        <f t="shared" si="3"/>
        <v>Face/Off</v>
      </c>
      <c r="N254" s="2" t="s">
        <v>1145</v>
      </c>
      <c r="O254" t="s">
        <v>1540</v>
      </c>
      <c r="P254">
        <f>VLOOKUP(J254,A253:K855,6,TRUE)</f>
        <v>0</v>
      </c>
    </row>
    <row r="255" spans="1:16" x14ac:dyDescent="0.25">
      <c r="A255" t="s">
        <v>488</v>
      </c>
      <c r="B255" s="1">
        <v>42114</v>
      </c>
      <c r="C255" t="s">
        <v>108</v>
      </c>
      <c r="E255" t="s">
        <v>429</v>
      </c>
      <c r="F255" t="s">
        <v>172</v>
      </c>
      <c r="H255" t="s">
        <v>12</v>
      </c>
      <c r="J255" t="str">
        <f>IF(ISNUMBER(SEARCH("Episode",A255:A858)),A255:A858,"")</f>
        <v>Episode 200 - Red Heat</v>
      </c>
      <c r="M255" t="str">
        <f t="shared" si="3"/>
        <v>Red Heat</v>
      </c>
      <c r="N255" s="2" t="s">
        <v>1146</v>
      </c>
      <c r="O255" t="s">
        <v>1541</v>
      </c>
      <c r="P255">
        <f>VLOOKUP(J255,A254:K856,6,TRUE)</f>
        <v>0</v>
      </c>
    </row>
    <row r="256" spans="1:16" x14ac:dyDescent="0.25">
      <c r="A256" t="s">
        <v>489</v>
      </c>
      <c r="B256" s="1">
        <v>42117</v>
      </c>
      <c r="C256" t="s">
        <v>108</v>
      </c>
      <c r="E256" t="s">
        <v>429</v>
      </c>
      <c r="H256" t="s">
        <v>369</v>
      </c>
      <c r="J256" t="str">
        <f>IF(ISNUMBER(SEARCH("Episode",A256:A859)),A256:A859,"")</f>
        <v/>
      </c>
      <c r="M256" t="str">
        <f t="shared" si="3"/>
        <v/>
      </c>
      <c r="N256" s="2" t="s">
        <v>1147</v>
      </c>
      <c r="O256" t="s">
        <v>1542</v>
      </c>
      <c r="P256" t="e">
        <f>VLOOKUP(J256,A255:K857,6,TRUE)</f>
        <v>#N/A</v>
      </c>
    </row>
    <row r="257" spans="1:16" x14ac:dyDescent="0.25">
      <c r="A257" t="s">
        <v>490</v>
      </c>
      <c r="B257" s="1">
        <v>42120</v>
      </c>
      <c r="C257" t="s">
        <v>108</v>
      </c>
      <c r="E257" t="s">
        <v>429</v>
      </c>
      <c r="H257" t="s">
        <v>241</v>
      </c>
      <c r="J257" t="str">
        <f>IF(ISNUMBER(SEARCH("Episode",A257:A860)),A257:A860,"")</f>
        <v/>
      </c>
      <c r="M257" t="str">
        <f t="shared" si="3"/>
        <v/>
      </c>
      <c r="N257" s="2" t="s">
        <v>1148</v>
      </c>
      <c r="O257" t="s">
        <v>1543</v>
      </c>
      <c r="P257" t="e">
        <f>VLOOKUP(J257,A256:K858,6,TRUE)</f>
        <v>#N/A</v>
      </c>
    </row>
    <row r="258" spans="1:16" x14ac:dyDescent="0.25">
      <c r="A258" t="s">
        <v>491</v>
      </c>
      <c r="B258" s="1">
        <v>42121</v>
      </c>
      <c r="C258" t="s">
        <v>108</v>
      </c>
      <c r="E258" t="s">
        <v>429</v>
      </c>
      <c r="F258" t="s">
        <v>175</v>
      </c>
      <c r="H258" t="s">
        <v>12</v>
      </c>
      <c r="J258" t="str">
        <f>IF(ISNUMBER(SEARCH("Episode",A258:A861)),A258:A861,"")</f>
        <v>Episode 201 - Loverboy</v>
      </c>
      <c r="M258" t="str">
        <f t="shared" si="3"/>
        <v>Loverboy</v>
      </c>
      <c r="N258" s="2" t="s">
        <v>1149</v>
      </c>
      <c r="O258" t="s">
        <v>1544</v>
      </c>
      <c r="P258">
        <f>VLOOKUP(J258,A257:K859,6,TRUE)</f>
        <v>0</v>
      </c>
    </row>
    <row r="259" spans="1:16" x14ac:dyDescent="0.25">
      <c r="A259" t="s">
        <v>492</v>
      </c>
      <c r="B259" s="1">
        <v>42128</v>
      </c>
      <c r="C259" t="s">
        <v>108</v>
      </c>
      <c r="E259" t="s">
        <v>429</v>
      </c>
      <c r="F259" t="s">
        <v>177</v>
      </c>
      <c r="H259" t="s">
        <v>12</v>
      </c>
      <c r="J259" t="str">
        <f>IF(ISNUMBER(SEARCH("Episode",A259:A862)),A259:A862,"")</f>
        <v>Episode 202 - Teen Witch</v>
      </c>
      <c r="M259" t="str">
        <f t="shared" ref="M259:M322" si="4">REPLACE(J259,1,14,"")</f>
        <v>Teen Witch</v>
      </c>
      <c r="N259" s="2" t="s">
        <v>1150</v>
      </c>
      <c r="O259" t="s">
        <v>1545</v>
      </c>
      <c r="P259">
        <f>VLOOKUP(J259,A258:K860,6,TRUE)</f>
        <v>0</v>
      </c>
    </row>
    <row r="260" spans="1:16" x14ac:dyDescent="0.25">
      <c r="A260" t="s">
        <v>493</v>
      </c>
      <c r="B260" s="1">
        <v>42135</v>
      </c>
      <c r="C260" t="s">
        <v>108</v>
      </c>
      <c r="E260" t="s">
        <v>429</v>
      </c>
      <c r="F260" t="s">
        <v>180</v>
      </c>
      <c r="H260" t="s">
        <v>12</v>
      </c>
      <c r="J260" t="str">
        <f>IF(ISNUMBER(SEARCH("Episode",A260:A863)),A260:A863,"")</f>
        <v>Episode 203 - House Arrest</v>
      </c>
      <c r="M260" t="str">
        <f t="shared" si="4"/>
        <v>House Arrest</v>
      </c>
      <c r="N260" s="2" t="s">
        <v>1151</v>
      </c>
      <c r="O260" t="s">
        <v>1546</v>
      </c>
      <c r="P260">
        <f>VLOOKUP(J260,A259:K861,6,TRUE)</f>
        <v>0</v>
      </c>
    </row>
    <row r="261" spans="1:16" x14ac:dyDescent="0.25">
      <c r="A261" t="s">
        <v>494</v>
      </c>
      <c r="B261" s="1">
        <v>42138</v>
      </c>
      <c r="C261" t="s">
        <v>108</v>
      </c>
      <c r="E261" t="s">
        <v>429</v>
      </c>
      <c r="H261" t="s">
        <v>91</v>
      </c>
      <c r="J261" t="str">
        <f>IF(ISNUMBER(SEARCH("Episode",A261:A864)),A261:A864,"")</f>
        <v/>
      </c>
      <c r="M261" t="str">
        <f t="shared" si="4"/>
        <v/>
      </c>
      <c r="N261" s="2" t="s">
        <v>1152</v>
      </c>
      <c r="O261" t="s">
        <v>1547</v>
      </c>
      <c r="P261" t="e">
        <f>VLOOKUP(J261,A260:K862,6,TRUE)</f>
        <v>#N/A</v>
      </c>
    </row>
    <row r="262" spans="1:16" x14ac:dyDescent="0.25">
      <c r="A262" t="s">
        <v>495</v>
      </c>
      <c r="B262" s="1">
        <v>42141</v>
      </c>
      <c r="C262" t="s">
        <v>108</v>
      </c>
      <c r="E262" t="s">
        <v>429</v>
      </c>
      <c r="H262" t="s">
        <v>241</v>
      </c>
      <c r="J262" t="str">
        <f>IF(ISNUMBER(SEARCH("Episode",A262:A865)),A262:A865,"")</f>
        <v/>
      </c>
      <c r="M262" t="str">
        <f t="shared" si="4"/>
        <v/>
      </c>
      <c r="N262" s="2" t="s">
        <v>1153</v>
      </c>
      <c r="O262" t="s">
        <v>1548</v>
      </c>
      <c r="P262" t="e">
        <f>VLOOKUP(J262,A261:K863,6,TRUE)</f>
        <v>#N/A</v>
      </c>
    </row>
    <row r="263" spans="1:16" x14ac:dyDescent="0.25">
      <c r="A263" t="s">
        <v>496</v>
      </c>
      <c r="B263" s="1">
        <v>42142</v>
      </c>
      <c r="C263" t="s">
        <v>108</v>
      </c>
      <c r="E263" t="s">
        <v>429</v>
      </c>
      <c r="F263" t="s">
        <v>183</v>
      </c>
      <c r="H263" t="s">
        <v>12</v>
      </c>
      <c r="J263" t="str">
        <f>IF(ISNUMBER(SEARCH("Episode",A263:A866)),A263:A866,"")</f>
        <v>Episode 204 - Blind Fury</v>
      </c>
      <c r="M263" t="str">
        <f t="shared" si="4"/>
        <v>Blind Fury</v>
      </c>
      <c r="N263" s="2" t="s">
        <v>1154</v>
      </c>
      <c r="O263" t="s">
        <v>1549</v>
      </c>
      <c r="P263">
        <f>VLOOKUP(J263,A262:K864,6,TRUE)</f>
        <v>0</v>
      </c>
    </row>
    <row r="264" spans="1:16" x14ac:dyDescent="0.25">
      <c r="A264" t="s">
        <v>497</v>
      </c>
      <c r="B264" s="1">
        <v>42145</v>
      </c>
      <c r="C264" t="s">
        <v>108</v>
      </c>
      <c r="E264" t="s">
        <v>429</v>
      </c>
      <c r="H264" t="s">
        <v>34</v>
      </c>
      <c r="J264" t="str">
        <f>IF(ISNUMBER(SEARCH("Episode",A264:A867)),A264:A867,"")</f>
        <v/>
      </c>
      <c r="M264" t="str">
        <f t="shared" si="4"/>
        <v/>
      </c>
      <c r="N264" s="2" t="s">
        <v>1155</v>
      </c>
      <c r="O264" t="s">
        <v>1550</v>
      </c>
      <c r="P264" t="e">
        <f>VLOOKUP(J264,A263:K865,6,TRUE)</f>
        <v>#N/A</v>
      </c>
    </row>
    <row r="265" spans="1:16" x14ac:dyDescent="0.25">
      <c r="A265" t="s">
        <v>498</v>
      </c>
      <c r="B265" s="1">
        <v>42149</v>
      </c>
      <c r="C265" t="s">
        <v>108</v>
      </c>
      <c r="E265" t="s">
        <v>429</v>
      </c>
      <c r="F265" t="s">
        <v>186</v>
      </c>
      <c r="H265" t="s">
        <v>12</v>
      </c>
      <c r="J265" t="str">
        <f>IF(ISNUMBER(SEARCH("Episode",A265:A868)),A265:A868,"")</f>
        <v>Episode 205 - Space Jam</v>
      </c>
      <c r="M265" t="str">
        <f t="shared" si="4"/>
        <v>Space Jam</v>
      </c>
      <c r="N265" s="2" t="s">
        <v>1156</v>
      </c>
      <c r="O265" t="s">
        <v>1551</v>
      </c>
      <c r="P265">
        <f>VLOOKUP(J265,A264:K866,6,TRUE)</f>
        <v>0</v>
      </c>
    </row>
    <row r="266" spans="1:16" x14ac:dyDescent="0.25">
      <c r="A266" t="s">
        <v>499</v>
      </c>
      <c r="B266" s="1">
        <v>42152</v>
      </c>
      <c r="C266" t="s">
        <v>108</v>
      </c>
      <c r="E266" t="s">
        <v>429</v>
      </c>
      <c r="H266" t="s">
        <v>369</v>
      </c>
      <c r="J266" t="str">
        <f>IF(ISNUMBER(SEARCH("Episode",A266:A869)),A266:A869,"")</f>
        <v/>
      </c>
      <c r="M266" t="str">
        <f t="shared" si="4"/>
        <v/>
      </c>
      <c r="N266" s="2" t="s">
        <v>1157</v>
      </c>
      <c r="O266" t="s">
        <v>1552</v>
      </c>
      <c r="P266" t="e">
        <f>VLOOKUP(J266,A265:K867,6,TRUE)</f>
        <v>#N/A</v>
      </c>
    </row>
    <row r="267" spans="1:16" x14ac:dyDescent="0.25">
      <c r="A267" t="s">
        <v>500</v>
      </c>
      <c r="B267" s="1">
        <v>42156</v>
      </c>
      <c r="C267" t="s">
        <v>108</v>
      </c>
      <c r="E267" t="s">
        <v>429</v>
      </c>
      <c r="F267" t="s">
        <v>188</v>
      </c>
      <c r="G267" t="s">
        <v>501</v>
      </c>
      <c r="H267" t="s">
        <v>12</v>
      </c>
      <c r="J267" t="str">
        <f>IF(ISNUMBER(SEARCH("Episode",A267:A870)),A267:A870,"")</f>
        <v>Episode 206 - The Lost World: Jurassic Park</v>
      </c>
      <c r="M267" t="str">
        <f t="shared" si="4"/>
        <v>The Lost World: Jurassic Park</v>
      </c>
      <c r="N267" s="2" t="s">
        <v>1158</v>
      </c>
      <c r="O267" t="s">
        <v>1553</v>
      </c>
      <c r="P267" t="str">
        <f>VLOOKUP(J267,A266:K868,6,TRUE)</f>
        <v>Episode 38</v>
      </c>
    </row>
    <row r="268" spans="1:16" x14ac:dyDescent="0.25">
      <c r="A268" t="s">
        <v>502</v>
      </c>
      <c r="B268" s="1">
        <v>42163</v>
      </c>
      <c r="C268" t="s">
        <v>108</v>
      </c>
      <c r="E268" t="s">
        <v>429</v>
      </c>
      <c r="F268" t="s">
        <v>191</v>
      </c>
      <c r="G268" t="s">
        <v>501</v>
      </c>
      <c r="H268" t="s">
        <v>12</v>
      </c>
      <c r="J268" t="str">
        <f>IF(ISNUMBER(SEARCH("Episode",A268:A871)),A268:A871,"")</f>
        <v>Episode 207 - Stealth</v>
      </c>
      <c r="M268" t="str">
        <f t="shared" si="4"/>
        <v>Stealth</v>
      </c>
      <c r="N268" s="2" t="s">
        <v>1159</v>
      </c>
      <c r="O268" t="s">
        <v>1554</v>
      </c>
      <c r="P268" t="str">
        <f>VLOOKUP(J268,A267:K869,6,TRUE)</f>
        <v>Episode 39</v>
      </c>
    </row>
    <row r="269" spans="1:16" x14ac:dyDescent="0.25">
      <c r="A269" t="s">
        <v>503</v>
      </c>
      <c r="B269" s="1">
        <v>42170</v>
      </c>
      <c r="C269" t="s">
        <v>108</v>
      </c>
      <c r="E269" t="s">
        <v>429</v>
      </c>
      <c r="F269" t="s">
        <v>194</v>
      </c>
      <c r="G269" t="s">
        <v>501</v>
      </c>
      <c r="H269" t="s">
        <v>12</v>
      </c>
      <c r="J269" t="str">
        <f>IF(ISNUMBER(SEARCH("Episode",A269:A872)),A269:A872,"")</f>
        <v>Episode 208 - Camp Nowhere</v>
      </c>
      <c r="M269" t="str">
        <f t="shared" si="4"/>
        <v>Camp Nowhere</v>
      </c>
      <c r="N269" s="2" t="s">
        <v>1160</v>
      </c>
      <c r="O269" t="s">
        <v>1555</v>
      </c>
      <c r="P269">
        <f>VLOOKUP(J269,A268:K870,6,TRUE)</f>
        <v>0</v>
      </c>
    </row>
    <row r="270" spans="1:16" x14ac:dyDescent="0.25">
      <c r="A270" t="s">
        <v>504</v>
      </c>
      <c r="B270" s="1">
        <v>42177</v>
      </c>
      <c r="C270" t="s">
        <v>108</v>
      </c>
      <c r="E270" t="s">
        <v>429</v>
      </c>
      <c r="F270" t="s">
        <v>198</v>
      </c>
      <c r="G270" t="s">
        <v>501</v>
      </c>
      <c r="H270" t="s">
        <v>12</v>
      </c>
      <c r="J270" t="str">
        <f>IF(ISNUMBER(SEARCH("Episode",A270:A873)),A270:A873,"")</f>
        <v>Episode 209 - Son of the Mask</v>
      </c>
      <c r="M270" t="str">
        <f t="shared" si="4"/>
        <v>Son of the Mask</v>
      </c>
      <c r="N270" s="2" t="s">
        <v>1161</v>
      </c>
      <c r="O270" t="s">
        <v>1556</v>
      </c>
      <c r="P270">
        <f>VLOOKUP(J270,A269:K871,6,TRUE)</f>
        <v>0</v>
      </c>
    </row>
    <row r="271" spans="1:16" x14ac:dyDescent="0.25">
      <c r="A271" t="s">
        <v>505</v>
      </c>
      <c r="B271" s="1">
        <v>42180</v>
      </c>
      <c r="C271" t="s">
        <v>108</v>
      </c>
      <c r="E271" t="s">
        <v>429</v>
      </c>
      <c r="H271" t="s">
        <v>369</v>
      </c>
      <c r="J271" t="str">
        <f>IF(ISNUMBER(SEARCH("Episode",A271:A874)),A271:A874,"")</f>
        <v/>
      </c>
      <c r="M271" t="str">
        <f t="shared" si="4"/>
        <v/>
      </c>
      <c r="N271" s="2" t="s">
        <v>1162</v>
      </c>
      <c r="O271" t="s">
        <v>1557</v>
      </c>
      <c r="P271" t="e">
        <f>VLOOKUP(J271,A270:K872,6,TRUE)</f>
        <v>#N/A</v>
      </c>
    </row>
    <row r="272" spans="1:16" x14ac:dyDescent="0.25">
      <c r="A272" t="s">
        <v>506</v>
      </c>
      <c r="B272" s="1">
        <v>42183</v>
      </c>
      <c r="C272" t="s">
        <v>108</v>
      </c>
      <c r="E272" t="s">
        <v>429</v>
      </c>
      <c r="H272" t="s">
        <v>241</v>
      </c>
      <c r="J272" t="str">
        <f>IF(ISNUMBER(SEARCH("Episode",A272:A875)),A272:A875,"")</f>
        <v/>
      </c>
      <c r="M272" t="str">
        <f t="shared" si="4"/>
        <v/>
      </c>
      <c r="N272" s="2" t="s">
        <v>1163</v>
      </c>
      <c r="O272" t="s">
        <v>1558</v>
      </c>
      <c r="P272" t="e">
        <f>VLOOKUP(J272,A271:K873,6,TRUE)</f>
        <v>#N/A</v>
      </c>
    </row>
    <row r="273" spans="1:16" x14ac:dyDescent="0.25">
      <c r="A273" t="s">
        <v>507</v>
      </c>
      <c r="B273" s="1">
        <v>42184</v>
      </c>
      <c r="C273" t="s">
        <v>108</v>
      </c>
      <c r="E273" t="s">
        <v>429</v>
      </c>
      <c r="F273" t="s">
        <v>201</v>
      </c>
      <c r="G273" t="s">
        <v>501</v>
      </c>
      <c r="H273" t="s">
        <v>12</v>
      </c>
      <c r="J273" t="str">
        <f>IF(ISNUMBER(SEARCH("Episode",A273:A876)),A273:A876,"")</f>
        <v>Episode 210 - Terminator 3: Rise of the Machines</v>
      </c>
      <c r="M273" t="str">
        <f t="shared" si="4"/>
        <v>Terminator 3: Rise of the Machines</v>
      </c>
      <c r="N273" s="2" t="s">
        <v>1164</v>
      </c>
      <c r="O273" t="s">
        <v>1559</v>
      </c>
      <c r="P273">
        <f>VLOOKUP(J273,A272:K874,6,TRUE)</f>
        <v>0</v>
      </c>
    </row>
    <row r="274" spans="1:16" x14ac:dyDescent="0.25">
      <c r="A274" t="s">
        <v>508</v>
      </c>
      <c r="B274" s="1">
        <v>42186</v>
      </c>
      <c r="C274" t="s">
        <v>14</v>
      </c>
      <c r="D274" t="s">
        <v>509</v>
      </c>
      <c r="E274" t="s">
        <v>429</v>
      </c>
      <c r="G274" t="s">
        <v>510</v>
      </c>
      <c r="H274" t="s">
        <v>34</v>
      </c>
      <c r="J274" t="str">
        <f>IF(ISNUMBER(SEARCH("Episode",A274:A877)),A274:A877,"")</f>
        <v/>
      </c>
      <c r="M274" t="str">
        <f t="shared" si="4"/>
        <v/>
      </c>
      <c r="N274" s="2" t="s">
        <v>1165</v>
      </c>
      <c r="O274" t="s">
        <v>1560</v>
      </c>
      <c r="P274" t="e">
        <f>VLOOKUP(J274,A273:K875,6,TRUE)</f>
        <v>#N/A</v>
      </c>
    </row>
    <row r="275" spans="1:16" x14ac:dyDescent="0.25">
      <c r="A275" t="s">
        <v>511</v>
      </c>
      <c r="B275" s="1">
        <v>42191</v>
      </c>
      <c r="C275" t="s">
        <v>108</v>
      </c>
      <c r="E275" t="s">
        <v>429</v>
      </c>
      <c r="F275" t="s">
        <v>204</v>
      </c>
      <c r="G275" t="s">
        <v>501</v>
      </c>
      <c r="H275" t="s">
        <v>12</v>
      </c>
      <c r="J275" t="str">
        <f>IF(ISNUMBER(SEARCH("Episode",A275:A878)),A275:A878,"")</f>
        <v>Episode 211 - Dragonheart</v>
      </c>
      <c r="M275" t="str">
        <f t="shared" si="4"/>
        <v>Dragonheart</v>
      </c>
      <c r="N275" s="2" t="s">
        <v>1166</v>
      </c>
      <c r="O275" t="s">
        <v>1561</v>
      </c>
      <c r="P275">
        <f>VLOOKUP(J275,A274:K876,6,TRUE)</f>
        <v>0</v>
      </c>
    </row>
    <row r="276" spans="1:16" x14ac:dyDescent="0.25">
      <c r="A276" t="s">
        <v>512</v>
      </c>
      <c r="B276" s="1">
        <v>42194</v>
      </c>
      <c r="C276" t="s">
        <v>108</v>
      </c>
      <c r="E276" t="s">
        <v>429</v>
      </c>
      <c r="H276" t="s">
        <v>369</v>
      </c>
      <c r="J276" t="str">
        <f>IF(ISNUMBER(SEARCH("Episode",A276:A879)),A276:A879,"")</f>
        <v/>
      </c>
      <c r="M276" t="str">
        <f t="shared" si="4"/>
        <v/>
      </c>
      <c r="N276" s="2" t="s">
        <v>1167</v>
      </c>
      <c r="O276" t="s">
        <v>1562</v>
      </c>
      <c r="P276" t="e">
        <f>VLOOKUP(J276,A275:K877,6,TRUE)</f>
        <v>#N/A</v>
      </c>
    </row>
    <row r="277" spans="1:16" x14ac:dyDescent="0.25">
      <c r="A277" t="s">
        <v>513</v>
      </c>
      <c r="B277" s="1">
        <v>42194</v>
      </c>
      <c r="C277" t="s">
        <v>14</v>
      </c>
      <c r="D277" t="s">
        <v>514</v>
      </c>
      <c r="E277" t="s">
        <v>429</v>
      </c>
      <c r="G277" t="s">
        <v>510</v>
      </c>
      <c r="H277" t="s">
        <v>34</v>
      </c>
      <c r="J277" t="str">
        <f>IF(ISNUMBER(SEARCH("Episode",A277:A880)),A277:A880,"")</f>
        <v/>
      </c>
      <c r="M277" t="str">
        <f t="shared" si="4"/>
        <v/>
      </c>
      <c r="N277" s="2" t="s">
        <v>1168</v>
      </c>
      <c r="O277" t="s">
        <v>1563</v>
      </c>
      <c r="P277" t="e">
        <f>VLOOKUP(J277,A276:K878,6,TRUE)</f>
        <v>#N/A</v>
      </c>
    </row>
    <row r="278" spans="1:16" x14ac:dyDescent="0.25">
      <c r="A278" t="s">
        <v>515</v>
      </c>
      <c r="B278" s="1">
        <v>42198</v>
      </c>
      <c r="C278" t="s">
        <v>108</v>
      </c>
      <c r="E278" t="s">
        <v>429</v>
      </c>
      <c r="F278" t="s">
        <v>207</v>
      </c>
      <c r="G278" t="s">
        <v>501</v>
      </c>
      <c r="H278" t="s">
        <v>12</v>
      </c>
      <c r="J278" t="str">
        <f>IF(ISNUMBER(SEARCH("Episode",A278:A881)),A278:A881,"")</f>
        <v>Episode 212 - The Matrix Revolutions</v>
      </c>
      <c r="M278" t="str">
        <f t="shared" si="4"/>
        <v>The Matrix Revolutions</v>
      </c>
      <c r="N278" s="2" t="s">
        <v>1169</v>
      </c>
      <c r="O278" t="s">
        <v>1564</v>
      </c>
      <c r="P278">
        <f>VLOOKUP(J278,A277:K879,6,TRUE)</f>
        <v>0</v>
      </c>
    </row>
    <row r="279" spans="1:16" x14ac:dyDescent="0.25">
      <c r="A279" t="s">
        <v>516</v>
      </c>
      <c r="B279" s="1">
        <v>42198</v>
      </c>
      <c r="C279" t="s">
        <v>14</v>
      </c>
      <c r="D279" t="s">
        <v>517</v>
      </c>
      <c r="E279" t="s">
        <v>429</v>
      </c>
      <c r="G279" t="s">
        <v>319</v>
      </c>
      <c r="H279" t="s">
        <v>34</v>
      </c>
      <c r="J279" t="str">
        <f>IF(ISNUMBER(SEARCH("Episode",A279:A882)),A279:A882,"")</f>
        <v/>
      </c>
      <c r="M279" t="str">
        <f t="shared" si="4"/>
        <v/>
      </c>
      <c r="N279" s="2" t="s">
        <v>1170</v>
      </c>
      <c r="O279" t="s">
        <v>1565</v>
      </c>
      <c r="P279" t="e">
        <f>VLOOKUP(J279,A278:K880,6,TRUE)</f>
        <v>#N/A</v>
      </c>
    </row>
    <row r="280" spans="1:16" x14ac:dyDescent="0.25">
      <c r="A280" t="s">
        <v>518</v>
      </c>
      <c r="B280" s="1">
        <v>42200</v>
      </c>
      <c r="C280" t="s">
        <v>14</v>
      </c>
      <c r="D280" t="s">
        <v>519</v>
      </c>
      <c r="E280" t="s">
        <v>429</v>
      </c>
      <c r="G280" t="s">
        <v>510</v>
      </c>
      <c r="H280" t="s">
        <v>34</v>
      </c>
      <c r="J280" t="str">
        <f>IF(ISNUMBER(SEARCH("Episode",A280:A883)),A280:A883,"")</f>
        <v/>
      </c>
      <c r="M280" t="str">
        <f t="shared" si="4"/>
        <v/>
      </c>
      <c r="N280" s="2" t="s">
        <v>1171</v>
      </c>
      <c r="O280" t="s">
        <v>1566</v>
      </c>
      <c r="P280" t="e">
        <f>VLOOKUP(J280,A279:K881,6,TRUE)</f>
        <v>#N/A</v>
      </c>
    </row>
    <row r="281" spans="1:16" x14ac:dyDescent="0.25">
      <c r="A281" t="s">
        <v>520</v>
      </c>
      <c r="B281" s="1">
        <v>42201</v>
      </c>
      <c r="C281" t="s">
        <v>108</v>
      </c>
      <c r="E281" t="s">
        <v>429</v>
      </c>
      <c r="H281" t="s">
        <v>241</v>
      </c>
      <c r="J281" t="str">
        <f>IF(ISNUMBER(SEARCH("Episode",A281:A884)),A281:A884,"")</f>
        <v/>
      </c>
      <c r="M281" t="str">
        <f t="shared" si="4"/>
        <v/>
      </c>
      <c r="N281" s="2" t="s">
        <v>1172</v>
      </c>
      <c r="O281" t="s">
        <v>1567</v>
      </c>
      <c r="P281" t="e">
        <f>VLOOKUP(J281,A280:K882,6,TRUE)</f>
        <v>#N/A</v>
      </c>
    </row>
    <row r="282" spans="1:16" x14ac:dyDescent="0.25">
      <c r="A282" t="s">
        <v>521</v>
      </c>
      <c r="B282" s="1">
        <v>42205</v>
      </c>
      <c r="C282" t="s">
        <v>108</v>
      </c>
      <c r="E282" t="s">
        <v>429</v>
      </c>
      <c r="F282" t="s">
        <v>210</v>
      </c>
      <c r="G282" t="s">
        <v>501</v>
      </c>
      <c r="H282" t="s">
        <v>12</v>
      </c>
      <c r="J282" t="str">
        <f>IF(ISNUMBER(SEARCH("Episode",A282:A885)),A282:A885,"")</f>
        <v>Episode 213 - The League of Extraordinary Gentlemen</v>
      </c>
      <c r="M282" t="str">
        <f t="shared" si="4"/>
        <v>The League of Extraordinary Gentlemen</v>
      </c>
      <c r="N282" s="2" t="s">
        <v>1173</v>
      </c>
      <c r="O282" t="s">
        <v>1568</v>
      </c>
      <c r="P282" t="str">
        <f>VLOOKUP(J282,A281:K883,6,TRUE)</f>
        <v>Episode 45</v>
      </c>
    </row>
    <row r="283" spans="1:16" x14ac:dyDescent="0.25">
      <c r="A283" t="s">
        <v>522</v>
      </c>
      <c r="B283" s="1">
        <v>42208</v>
      </c>
      <c r="C283" t="s">
        <v>14</v>
      </c>
      <c r="D283" t="s">
        <v>523</v>
      </c>
      <c r="E283" t="s">
        <v>429</v>
      </c>
      <c r="G283" t="s">
        <v>510</v>
      </c>
      <c r="H283" t="s">
        <v>34</v>
      </c>
      <c r="J283" t="str">
        <f>IF(ISNUMBER(SEARCH("Episode",A283:A886)),A283:A886,"")</f>
        <v/>
      </c>
      <c r="M283" t="str">
        <f t="shared" si="4"/>
        <v/>
      </c>
      <c r="N283" s="2" t="s">
        <v>1174</v>
      </c>
      <c r="O283" t="s">
        <v>1569</v>
      </c>
      <c r="P283" t="e">
        <f>VLOOKUP(J283,A282:K884,6,TRUE)</f>
        <v>#N/A</v>
      </c>
    </row>
    <row r="284" spans="1:16" x14ac:dyDescent="0.25">
      <c r="A284" t="s">
        <v>524</v>
      </c>
      <c r="B284" s="1">
        <v>42212</v>
      </c>
      <c r="C284" t="s">
        <v>108</v>
      </c>
      <c r="E284" t="s">
        <v>429</v>
      </c>
      <c r="F284" t="s">
        <v>213</v>
      </c>
      <c r="G284" t="s">
        <v>525</v>
      </c>
      <c r="H284" t="s">
        <v>12</v>
      </c>
      <c r="J284" t="str">
        <f>IF(ISNUMBER(SEARCH("Episode",A284:A887)),A284:A887,"")</f>
        <v>Episode 214 - Green Lantern (Live)</v>
      </c>
      <c r="M284" t="str">
        <f t="shared" si="4"/>
        <v>Green Lantern (Live)</v>
      </c>
      <c r="N284" s="2" t="s">
        <v>1175</v>
      </c>
      <c r="O284" t="s">
        <v>1570</v>
      </c>
      <c r="P284">
        <f>VLOOKUP(J284,A283:K885,6,TRUE)</f>
        <v>0</v>
      </c>
    </row>
    <row r="285" spans="1:16" x14ac:dyDescent="0.25">
      <c r="A285" t="s">
        <v>526</v>
      </c>
      <c r="B285" s="1">
        <v>42254</v>
      </c>
      <c r="C285" t="s">
        <v>108</v>
      </c>
      <c r="E285" t="s">
        <v>527</v>
      </c>
      <c r="F285" t="s">
        <v>11</v>
      </c>
      <c r="G285" t="s">
        <v>528</v>
      </c>
      <c r="H285" t="s">
        <v>12</v>
      </c>
      <c r="J285" t="str">
        <f>IF(ISNUMBER(SEARCH("Episode",A285:A888)),A285:A888,"")</f>
        <v>Episode 215 - Mortal Kombat: Annihilation</v>
      </c>
      <c r="M285" t="str">
        <f t="shared" si="4"/>
        <v>Mortal Kombat: Annihilation</v>
      </c>
      <c r="N285" s="2" t="s">
        <v>1176</v>
      </c>
      <c r="O285" t="s">
        <v>1571</v>
      </c>
      <c r="P285">
        <f>VLOOKUP(J285,A284:K886,6,TRUE)</f>
        <v>0</v>
      </c>
    </row>
    <row r="286" spans="1:16" x14ac:dyDescent="0.25">
      <c r="A286" t="s">
        <v>529</v>
      </c>
      <c r="B286" s="1">
        <v>42256</v>
      </c>
      <c r="C286" t="s">
        <v>108</v>
      </c>
      <c r="E286" t="s">
        <v>527</v>
      </c>
      <c r="G286" t="s">
        <v>528</v>
      </c>
      <c r="H286" t="s">
        <v>369</v>
      </c>
      <c r="J286" t="str">
        <f>IF(ISNUMBER(SEARCH("Episode",A286:A889)),A286:A889,"")</f>
        <v/>
      </c>
      <c r="M286" t="str">
        <f t="shared" si="4"/>
        <v/>
      </c>
      <c r="N286" s="2" t="s">
        <v>1177</v>
      </c>
      <c r="O286" t="s">
        <v>1572</v>
      </c>
      <c r="P286" t="e">
        <f>VLOOKUP(J286,A285:K887,6,TRUE)</f>
        <v>#N/A</v>
      </c>
    </row>
    <row r="287" spans="1:16" x14ac:dyDescent="0.25">
      <c r="A287" t="s">
        <v>530</v>
      </c>
      <c r="B287" s="1">
        <v>42261</v>
      </c>
      <c r="C287" t="s">
        <v>108</v>
      </c>
      <c r="E287" t="s">
        <v>527</v>
      </c>
      <c r="F287" t="s">
        <v>16</v>
      </c>
      <c r="G287" t="s">
        <v>528</v>
      </c>
      <c r="H287" t="s">
        <v>12</v>
      </c>
      <c r="J287" t="str">
        <f>IF(ISNUMBER(SEARCH("Episode",A287:A890)),A287:A890,"")</f>
        <v>Episode 216 - Cyber Seduction: His Secret Life</v>
      </c>
      <c r="M287" t="str">
        <f t="shared" si="4"/>
        <v>Cyber Seduction: His Secret Life</v>
      </c>
      <c r="N287" s="2" t="s">
        <v>1178</v>
      </c>
      <c r="O287" t="s">
        <v>1573</v>
      </c>
      <c r="P287">
        <f>VLOOKUP(J287,A286:K888,6,TRUE)</f>
        <v>0</v>
      </c>
    </row>
    <row r="288" spans="1:16" x14ac:dyDescent="0.25">
      <c r="A288" t="s">
        <v>531</v>
      </c>
      <c r="B288" s="1">
        <v>42268</v>
      </c>
      <c r="C288" t="s">
        <v>108</v>
      </c>
      <c r="E288" t="s">
        <v>527</v>
      </c>
      <c r="F288" t="s">
        <v>19</v>
      </c>
      <c r="G288" t="s">
        <v>528</v>
      </c>
      <c r="H288" t="s">
        <v>12</v>
      </c>
      <c r="J288" t="str">
        <f>IF(ISNUMBER(SEARCH("Episode",A288:A891)),A288:A891,"")</f>
        <v>Episode 217 - The Dead Pool</v>
      </c>
      <c r="M288" t="str">
        <f t="shared" si="4"/>
        <v>The Dead Pool</v>
      </c>
      <c r="N288" s="2" t="s">
        <v>1179</v>
      </c>
      <c r="O288" t="s">
        <v>1574</v>
      </c>
      <c r="P288">
        <f>VLOOKUP(J288,A287:K889,6,TRUE)</f>
        <v>0</v>
      </c>
    </row>
    <row r="289" spans="1:16" x14ac:dyDescent="0.25">
      <c r="A289" t="s">
        <v>532</v>
      </c>
      <c r="B289" s="1">
        <v>42270</v>
      </c>
      <c r="C289" t="s">
        <v>108</v>
      </c>
      <c r="E289" t="s">
        <v>527</v>
      </c>
      <c r="H289" t="s">
        <v>241</v>
      </c>
      <c r="J289" t="str">
        <f>IF(ISNUMBER(SEARCH("Episode",A289:A892)),A289:A892,"")</f>
        <v/>
      </c>
      <c r="M289" t="str">
        <f t="shared" si="4"/>
        <v/>
      </c>
      <c r="N289" s="2" t="s">
        <v>1180</v>
      </c>
      <c r="O289" t="s">
        <v>1575</v>
      </c>
      <c r="P289" t="e">
        <f>VLOOKUP(J289,A288:K890,6,TRUE)</f>
        <v>#N/A</v>
      </c>
    </row>
    <row r="290" spans="1:16" x14ac:dyDescent="0.25">
      <c r="A290" t="s">
        <v>533</v>
      </c>
      <c r="B290" s="1">
        <v>42275</v>
      </c>
      <c r="C290" t="s">
        <v>108</v>
      </c>
      <c r="E290" t="s">
        <v>527</v>
      </c>
      <c r="F290" t="s">
        <v>22</v>
      </c>
      <c r="G290" t="s">
        <v>528</v>
      </c>
      <c r="H290" t="s">
        <v>12</v>
      </c>
      <c r="J290" t="str">
        <f>IF(ISNUMBER(SEARCH("Episode",A290:A893)),A290:A893,"")</f>
        <v>Episode 218 - The Devil's Advocate</v>
      </c>
      <c r="M290" t="str">
        <f t="shared" si="4"/>
        <v>The Devil's Advocate</v>
      </c>
      <c r="N290" s="2" t="s">
        <v>1181</v>
      </c>
      <c r="O290" t="s">
        <v>1576</v>
      </c>
      <c r="P290">
        <f>VLOOKUP(J290,A289:K891,6,TRUE)</f>
        <v>0</v>
      </c>
    </row>
    <row r="291" spans="1:16" x14ac:dyDescent="0.25">
      <c r="A291" t="s">
        <v>534</v>
      </c>
      <c r="B291" s="1">
        <v>42276</v>
      </c>
      <c r="C291" t="s">
        <v>108</v>
      </c>
      <c r="E291" t="s">
        <v>527</v>
      </c>
      <c r="G291" t="s">
        <v>528</v>
      </c>
      <c r="H291" t="s">
        <v>369</v>
      </c>
      <c r="J291" t="str">
        <f>IF(ISNUMBER(SEARCH("Episode",A291:A894)),A291:A894,"")</f>
        <v/>
      </c>
      <c r="M291" t="str">
        <f t="shared" si="4"/>
        <v/>
      </c>
      <c r="N291" s="2" t="s">
        <v>1182</v>
      </c>
      <c r="O291" t="s">
        <v>1577</v>
      </c>
      <c r="P291" t="e">
        <f>VLOOKUP(J291,A290:K892,6,TRUE)</f>
        <v>#N/A</v>
      </c>
    </row>
    <row r="292" spans="1:16" x14ac:dyDescent="0.25">
      <c r="A292" t="s">
        <v>535</v>
      </c>
      <c r="B292" s="1">
        <v>42282</v>
      </c>
      <c r="C292" t="s">
        <v>108</v>
      </c>
      <c r="E292" t="s">
        <v>527</v>
      </c>
      <c r="F292" t="s">
        <v>25</v>
      </c>
      <c r="G292" t="s">
        <v>536</v>
      </c>
      <c r="H292" t="s">
        <v>12</v>
      </c>
      <c r="J292" t="str">
        <f>IF(ISNUMBER(SEARCH("Episode",A292:A895)),A292:A895,"")</f>
        <v>Episode 219 - Brainscan</v>
      </c>
      <c r="M292" t="str">
        <f t="shared" si="4"/>
        <v>Brainscan</v>
      </c>
      <c r="N292" s="2" t="s">
        <v>1183</v>
      </c>
      <c r="O292" t="s">
        <v>1578</v>
      </c>
      <c r="P292">
        <f>VLOOKUP(J292,A291:K893,6,TRUE)</f>
        <v>0</v>
      </c>
    </row>
    <row r="293" spans="1:16" x14ac:dyDescent="0.25">
      <c r="A293" t="s">
        <v>537</v>
      </c>
      <c r="B293" s="1">
        <v>42289</v>
      </c>
      <c r="C293" t="s">
        <v>108</v>
      </c>
      <c r="E293" t="s">
        <v>527</v>
      </c>
      <c r="F293" t="s">
        <v>28</v>
      </c>
      <c r="G293" t="s">
        <v>536</v>
      </c>
      <c r="H293" t="s">
        <v>12</v>
      </c>
      <c r="J293" t="str">
        <f>IF(ISNUMBER(SEARCH("Episode",A293:A896)),A293:A896,"")</f>
        <v>Episode 220 - Killer Workout</v>
      </c>
      <c r="M293" t="str">
        <f t="shared" si="4"/>
        <v>Killer Workout</v>
      </c>
      <c r="N293" s="2" t="s">
        <v>1184</v>
      </c>
      <c r="O293" t="s">
        <v>1579</v>
      </c>
      <c r="P293" t="str">
        <f>VLOOKUP(J293,A292:K894,6,TRUE)</f>
        <v>Episode 6</v>
      </c>
    </row>
    <row r="294" spans="1:16" x14ac:dyDescent="0.25">
      <c r="A294" t="s">
        <v>538</v>
      </c>
      <c r="B294" s="1">
        <v>42296</v>
      </c>
      <c r="C294" t="s">
        <v>108</v>
      </c>
      <c r="E294" t="s">
        <v>527</v>
      </c>
      <c r="F294" t="s">
        <v>31</v>
      </c>
      <c r="G294" t="s">
        <v>536</v>
      </c>
      <c r="H294" t="s">
        <v>12</v>
      </c>
      <c r="J294" t="str">
        <f>IF(ISNUMBER(SEARCH("Episode",A294:A897)),A294:A897,"")</f>
        <v>Episode 221 - Freddy vs. Jason</v>
      </c>
      <c r="M294" t="str">
        <f t="shared" si="4"/>
        <v>Freddy vs. Jason</v>
      </c>
      <c r="N294" s="2" t="s">
        <v>1185</v>
      </c>
      <c r="O294" t="s">
        <v>1580</v>
      </c>
      <c r="P294">
        <f>VLOOKUP(J294,A293:K895,6,TRUE)</f>
        <v>0</v>
      </c>
    </row>
    <row r="295" spans="1:16" x14ac:dyDescent="0.25">
      <c r="A295" t="s">
        <v>539</v>
      </c>
      <c r="B295" s="1">
        <v>42302</v>
      </c>
      <c r="C295" t="s">
        <v>108</v>
      </c>
      <c r="E295" t="s">
        <v>527</v>
      </c>
      <c r="H295" t="s">
        <v>241</v>
      </c>
      <c r="J295" t="str">
        <f>IF(ISNUMBER(SEARCH("Episode",A295:A898)),A295:A898,"")</f>
        <v/>
      </c>
      <c r="M295" t="str">
        <f t="shared" si="4"/>
        <v/>
      </c>
      <c r="N295" s="2" t="s">
        <v>1186</v>
      </c>
      <c r="O295" t="s">
        <v>1581</v>
      </c>
      <c r="P295" t="e">
        <f>VLOOKUP(J295,A294:K896,6,TRUE)</f>
        <v>#N/A</v>
      </c>
    </row>
    <row r="296" spans="1:16" x14ac:dyDescent="0.25">
      <c r="A296" t="s">
        <v>540</v>
      </c>
      <c r="B296" s="1">
        <v>42303</v>
      </c>
      <c r="C296" t="s">
        <v>108</v>
      </c>
      <c r="E296" t="s">
        <v>527</v>
      </c>
      <c r="F296" t="s">
        <v>37</v>
      </c>
      <c r="G296" t="s">
        <v>536</v>
      </c>
      <c r="H296" t="s">
        <v>12</v>
      </c>
      <c r="J296" t="str">
        <f>IF(ISNUMBER(SEARCH("Episode",A296:A899)),A296:A899,"")</f>
        <v>Episode 222 - Thinner</v>
      </c>
      <c r="M296" t="str">
        <f t="shared" si="4"/>
        <v>Thinner</v>
      </c>
      <c r="N296" s="2" t="s">
        <v>1187</v>
      </c>
      <c r="O296" t="s">
        <v>1582</v>
      </c>
      <c r="P296">
        <f>VLOOKUP(J296,A295:K897,6,TRUE)</f>
        <v>0</v>
      </c>
    </row>
    <row r="297" spans="1:16" x14ac:dyDescent="0.25">
      <c r="A297" t="s">
        <v>541</v>
      </c>
      <c r="B297" s="1">
        <v>42305</v>
      </c>
      <c r="C297" t="s">
        <v>108</v>
      </c>
      <c r="E297" t="s">
        <v>527</v>
      </c>
      <c r="G297" t="s">
        <v>536</v>
      </c>
      <c r="H297" t="s">
        <v>369</v>
      </c>
      <c r="J297" t="str">
        <f>IF(ISNUMBER(SEARCH("Episode",A297:A900)),A297:A900,"")</f>
        <v/>
      </c>
      <c r="M297" t="str">
        <f t="shared" si="4"/>
        <v/>
      </c>
      <c r="N297" s="2" t="s">
        <v>1188</v>
      </c>
      <c r="O297" t="s">
        <v>1583</v>
      </c>
      <c r="P297" t="e">
        <f>VLOOKUP(J297,A296:K898,6,TRUE)</f>
        <v>#N/A</v>
      </c>
    </row>
    <row r="298" spans="1:16" x14ac:dyDescent="0.25">
      <c r="A298" t="s">
        <v>542</v>
      </c>
      <c r="B298" s="1">
        <v>42306</v>
      </c>
      <c r="C298" t="s">
        <v>108</v>
      </c>
      <c r="E298" t="s">
        <v>527</v>
      </c>
      <c r="G298" t="s">
        <v>536</v>
      </c>
      <c r="H298" t="s">
        <v>34</v>
      </c>
      <c r="J298" t="str">
        <f>IF(ISNUMBER(SEARCH("Episode",A298:A901)),A298:A901,"")</f>
        <v/>
      </c>
      <c r="M298" t="str">
        <f t="shared" si="4"/>
        <v/>
      </c>
      <c r="N298" s="2" t="s">
        <v>1189</v>
      </c>
      <c r="O298" t="s">
        <v>1584</v>
      </c>
      <c r="P298" t="e">
        <f>VLOOKUP(J298,A297:K899,6,TRUE)</f>
        <v>#N/A</v>
      </c>
    </row>
    <row r="299" spans="1:16" x14ac:dyDescent="0.25">
      <c r="A299" t="s">
        <v>543</v>
      </c>
      <c r="B299" s="1">
        <v>42310</v>
      </c>
      <c r="C299" t="s">
        <v>108</v>
      </c>
      <c r="E299" t="s">
        <v>527</v>
      </c>
      <c r="F299" t="s">
        <v>40</v>
      </c>
      <c r="H299" t="s">
        <v>12</v>
      </c>
      <c r="J299" t="str">
        <f>IF(ISNUMBER(SEARCH("Episode",A299:A902)),A299:A902,"")</f>
        <v>Episode 223 - Never Say Never Again</v>
      </c>
      <c r="M299" t="str">
        <f t="shared" si="4"/>
        <v>Never Say Never Again</v>
      </c>
      <c r="N299" s="2" t="s">
        <v>1190</v>
      </c>
      <c r="O299" t="s">
        <v>1585</v>
      </c>
      <c r="P299">
        <f>VLOOKUP(J299,A298:K900,6,TRUE)</f>
        <v>0</v>
      </c>
    </row>
    <row r="300" spans="1:16" x14ac:dyDescent="0.25">
      <c r="A300" t="s">
        <v>544</v>
      </c>
      <c r="B300" s="1">
        <v>42317</v>
      </c>
      <c r="C300" t="s">
        <v>108</v>
      </c>
      <c r="E300" t="s">
        <v>527</v>
      </c>
      <c r="F300" t="s">
        <v>43</v>
      </c>
      <c r="H300" t="s">
        <v>12</v>
      </c>
      <c r="J300" t="str">
        <f>IF(ISNUMBER(SEARCH("Episode",A300:A903)),A300:A903,"")</f>
        <v>Episode 224 - Supergirl</v>
      </c>
      <c r="M300" t="str">
        <f t="shared" si="4"/>
        <v>Supergirl</v>
      </c>
      <c r="N300" s="2" t="s">
        <v>1191</v>
      </c>
      <c r="O300" t="s">
        <v>1586</v>
      </c>
      <c r="P300">
        <f>VLOOKUP(J300,A299:K901,6,TRUE)</f>
        <v>0</v>
      </c>
    </row>
    <row r="301" spans="1:16" x14ac:dyDescent="0.25">
      <c r="A301" t="s">
        <v>545</v>
      </c>
      <c r="B301" s="1">
        <v>42319</v>
      </c>
      <c r="C301" t="s">
        <v>108</v>
      </c>
      <c r="E301" t="s">
        <v>527</v>
      </c>
      <c r="H301" t="s">
        <v>369</v>
      </c>
      <c r="J301" t="str">
        <f>IF(ISNUMBER(SEARCH("Episode",A301:A904)),A301:A904,"")</f>
        <v/>
      </c>
      <c r="M301" t="str">
        <f t="shared" si="4"/>
        <v/>
      </c>
      <c r="N301" s="2" t="s">
        <v>1192</v>
      </c>
      <c r="O301" t="s">
        <v>1587</v>
      </c>
      <c r="P301" t="e">
        <f>VLOOKUP(J301,A300:K902,6,TRUE)</f>
        <v>#N/A</v>
      </c>
    </row>
    <row r="302" spans="1:16" x14ac:dyDescent="0.25">
      <c r="A302" t="s">
        <v>546</v>
      </c>
      <c r="B302" s="1">
        <v>42324</v>
      </c>
      <c r="C302" t="s">
        <v>108</v>
      </c>
      <c r="E302" t="s">
        <v>527</v>
      </c>
      <c r="F302" t="s">
        <v>46</v>
      </c>
      <c r="H302" t="s">
        <v>12</v>
      </c>
      <c r="J302" t="str">
        <f>IF(ISNUMBER(SEARCH("Episode",A302:A905)),A302:A905,"")</f>
        <v>Episode 225 - Weekend at Bernie's</v>
      </c>
      <c r="M302" t="str">
        <f t="shared" si="4"/>
        <v>Weekend at Bernie's</v>
      </c>
      <c r="N302" s="2" t="s">
        <v>1193</v>
      </c>
      <c r="O302" t="s">
        <v>1588</v>
      </c>
      <c r="P302" t="str">
        <f>VLOOKUP(J302,A301:K903,6,TRUE)</f>
        <v>Episode 11</v>
      </c>
    </row>
    <row r="303" spans="1:16" x14ac:dyDescent="0.25">
      <c r="A303" t="s">
        <v>547</v>
      </c>
      <c r="B303" s="1">
        <v>42325</v>
      </c>
      <c r="C303" t="s">
        <v>108</v>
      </c>
      <c r="E303" t="s">
        <v>527</v>
      </c>
      <c r="H303" t="s">
        <v>34</v>
      </c>
      <c r="J303" t="str">
        <f>IF(ISNUMBER(SEARCH("Episode",A303:A906)),A303:A906,"")</f>
        <v/>
      </c>
      <c r="M303" t="str">
        <f t="shared" si="4"/>
        <v/>
      </c>
      <c r="N303" s="2" t="s">
        <v>1194</v>
      </c>
      <c r="O303" t="s">
        <v>1589</v>
      </c>
      <c r="P303" t="e">
        <f>VLOOKUP(J303,A302:K904,6,TRUE)</f>
        <v>#N/A</v>
      </c>
    </row>
    <row r="304" spans="1:16" x14ac:dyDescent="0.25">
      <c r="A304" t="s">
        <v>548</v>
      </c>
      <c r="B304" s="1">
        <v>42326</v>
      </c>
      <c r="C304" t="s">
        <v>108</v>
      </c>
      <c r="E304" t="s">
        <v>527</v>
      </c>
      <c r="H304" t="s">
        <v>241</v>
      </c>
      <c r="J304" t="str">
        <f>IF(ISNUMBER(SEARCH("Episode",A304:A907)),A304:A907,"")</f>
        <v/>
      </c>
      <c r="M304" t="str">
        <f t="shared" si="4"/>
        <v/>
      </c>
      <c r="N304" s="2" t="s">
        <v>1195</v>
      </c>
      <c r="O304" t="s">
        <v>1590</v>
      </c>
      <c r="P304" t="e">
        <f>VLOOKUP(J304,A303:K905,6,TRUE)</f>
        <v>#N/A</v>
      </c>
    </row>
    <row r="305" spans="1:16" x14ac:dyDescent="0.25">
      <c r="A305" t="s">
        <v>549</v>
      </c>
      <c r="B305" s="1">
        <v>42331</v>
      </c>
      <c r="C305" t="s">
        <v>108</v>
      </c>
      <c r="E305" t="s">
        <v>527</v>
      </c>
      <c r="F305" t="s">
        <v>49</v>
      </c>
      <c r="H305" t="s">
        <v>12</v>
      </c>
      <c r="J305" t="str">
        <f>IF(ISNUMBER(SEARCH("Episode",A305:A908)),A305:A908,"")</f>
        <v>Episode 226 - Weekend at Bernie's II</v>
      </c>
      <c r="M305" t="str">
        <f t="shared" si="4"/>
        <v>Weekend at Bernie's II</v>
      </c>
      <c r="N305" s="2" t="s">
        <v>1196</v>
      </c>
      <c r="O305" t="s">
        <v>1591</v>
      </c>
      <c r="P305" t="str">
        <f>VLOOKUP(J305,A304:K906,6,TRUE)</f>
        <v>Episode 12</v>
      </c>
    </row>
    <row r="306" spans="1:16" x14ac:dyDescent="0.25">
      <c r="A306" t="s">
        <v>550</v>
      </c>
      <c r="B306" s="1">
        <v>42338</v>
      </c>
      <c r="C306" t="s">
        <v>108</v>
      </c>
      <c r="E306" t="s">
        <v>527</v>
      </c>
      <c r="F306" t="s">
        <v>52</v>
      </c>
      <c r="H306" t="s">
        <v>12</v>
      </c>
      <c r="J306" t="str">
        <f>IF(ISNUMBER(SEARCH("Episode",A306:A909)),A306:A909,"")</f>
        <v>Episode 227 - Care Bears Movie II: A New Generation</v>
      </c>
      <c r="M306" t="str">
        <f t="shared" si="4"/>
        <v>Care Bears Movie II: A New Generation</v>
      </c>
      <c r="N306" s="2" t="s">
        <v>1197</v>
      </c>
      <c r="O306" t="s">
        <v>1592</v>
      </c>
      <c r="P306">
        <f>VLOOKUP(J306,A305:K907,6,TRUE)</f>
        <v>0</v>
      </c>
    </row>
    <row r="307" spans="1:16" x14ac:dyDescent="0.25">
      <c r="A307" t="s">
        <v>551</v>
      </c>
      <c r="B307" s="1">
        <v>42345</v>
      </c>
      <c r="C307" t="s">
        <v>108</v>
      </c>
      <c r="E307" t="s">
        <v>527</v>
      </c>
      <c r="F307" t="s">
        <v>56</v>
      </c>
      <c r="H307" t="s">
        <v>12</v>
      </c>
      <c r="J307" t="str">
        <f>IF(ISNUMBER(SEARCH("Episode",A307:A910)),A307:A910,"")</f>
        <v>Episode 228 - Bill &amp;  Ted's Bogus Journey</v>
      </c>
      <c r="M307" t="str">
        <f t="shared" si="4"/>
        <v>Bill &amp;  Ted's Bogus Journey</v>
      </c>
      <c r="N307" s="2" t="s">
        <v>1198</v>
      </c>
      <c r="O307" t="s">
        <v>1593</v>
      </c>
      <c r="P307">
        <f>VLOOKUP(J307,A306:K908,6,TRUE)</f>
        <v>0</v>
      </c>
    </row>
    <row r="308" spans="1:16" x14ac:dyDescent="0.25">
      <c r="A308" t="s">
        <v>552</v>
      </c>
      <c r="B308" s="1">
        <v>42348</v>
      </c>
      <c r="C308" t="s">
        <v>233</v>
      </c>
      <c r="D308" t="s">
        <v>553</v>
      </c>
      <c r="E308" t="s">
        <v>527</v>
      </c>
      <c r="G308" t="s">
        <v>554</v>
      </c>
      <c r="H308" t="s">
        <v>236</v>
      </c>
      <c r="J308" t="str">
        <f>IF(ISNUMBER(SEARCH("Episode",A308:A911)),A308:A911,"")</f>
        <v/>
      </c>
      <c r="M308" t="str">
        <f t="shared" si="4"/>
        <v/>
      </c>
      <c r="N308" s="2" t="s">
        <v>1199</v>
      </c>
      <c r="O308" t="s">
        <v>1594</v>
      </c>
      <c r="P308" t="e">
        <f>VLOOKUP(J308,A307:K909,6,TRUE)</f>
        <v>#N/A</v>
      </c>
    </row>
    <row r="309" spans="1:16" x14ac:dyDescent="0.25">
      <c r="A309" t="s">
        <v>555</v>
      </c>
      <c r="B309" s="1">
        <v>42352</v>
      </c>
      <c r="C309" t="s">
        <v>108</v>
      </c>
      <c r="E309" t="s">
        <v>527</v>
      </c>
      <c r="F309" t="s">
        <v>59</v>
      </c>
      <c r="G309" t="s">
        <v>554</v>
      </c>
      <c r="H309" t="s">
        <v>12</v>
      </c>
      <c r="J309" t="str">
        <f>IF(ISNUMBER(SEARCH("Episode",A309:A912)),A309:A912,"")</f>
        <v>Episode 229 - Star Wars: Episode II - Attack of the Clones</v>
      </c>
      <c r="M309" t="str">
        <f t="shared" si="4"/>
        <v>Star Wars: Episode II - Attack of the Clones</v>
      </c>
      <c r="N309" s="2" t="s">
        <v>1200</v>
      </c>
      <c r="O309" t="s">
        <v>1595</v>
      </c>
      <c r="P309" t="str">
        <f>VLOOKUP(J309,A308:K910,6,TRUE)</f>
        <v>Episode 15</v>
      </c>
    </row>
    <row r="310" spans="1:16" x14ac:dyDescent="0.25">
      <c r="A310" t="s">
        <v>556</v>
      </c>
      <c r="B310" s="1">
        <v>42359</v>
      </c>
      <c r="C310" t="s">
        <v>108</v>
      </c>
      <c r="E310" t="s">
        <v>527</v>
      </c>
      <c r="F310" t="s">
        <v>65</v>
      </c>
      <c r="H310" t="s">
        <v>12</v>
      </c>
      <c r="J310" t="str">
        <f>IF(ISNUMBER(SEARCH("Episode",A310:A913)),A310:A913,"")</f>
        <v>Episode 230 - Santa Claus: The Movie</v>
      </c>
      <c r="M310" t="str">
        <f t="shared" si="4"/>
        <v>Santa Claus: The Movie</v>
      </c>
      <c r="N310" s="2" t="s">
        <v>1201</v>
      </c>
      <c r="O310" t="s">
        <v>1596</v>
      </c>
      <c r="P310" t="str">
        <f>VLOOKUP(J310,A309:K911,6,TRUE)</f>
        <v>Episode 16</v>
      </c>
    </row>
    <row r="311" spans="1:16" x14ac:dyDescent="0.25">
      <c r="A311" t="s">
        <v>557</v>
      </c>
      <c r="B311" s="1">
        <v>42360</v>
      </c>
      <c r="C311" t="s">
        <v>108</v>
      </c>
      <c r="E311" t="s">
        <v>527</v>
      </c>
      <c r="H311" t="s">
        <v>34</v>
      </c>
      <c r="J311" t="str">
        <f>IF(ISNUMBER(SEARCH("Episode",A311:A914)),A311:A914,"")</f>
        <v>WHM On-Screen: Star Wars: Episode VII - The Force Awakens</v>
      </c>
      <c r="M311" t="str">
        <f t="shared" si="4"/>
        <v xml:space="preserve"> Star Wars: Episode VII - The Force Awakens</v>
      </c>
      <c r="N311" s="2" t="s">
        <v>1202</v>
      </c>
      <c r="O311" t="s">
        <v>1597</v>
      </c>
      <c r="P311">
        <f>VLOOKUP(J311,A310:K912,6,TRUE)</f>
        <v>0</v>
      </c>
    </row>
    <row r="312" spans="1:16" x14ac:dyDescent="0.25">
      <c r="A312" t="s">
        <v>558</v>
      </c>
      <c r="B312" s="1">
        <v>42365</v>
      </c>
      <c r="C312" t="s">
        <v>108</v>
      </c>
      <c r="E312" t="s">
        <v>527</v>
      </c>
      <c r="H312" t="s">
        <v>241</v>
      </c>
      <c r="J312" t="str">
        <f>IF(ISNUMBER(SEARCH("Episode",A312:A915)),A312:A915,"")</f>
        <v/>
      </c>
      <c r="M312" t="str">
        <f t="shared" si="4"/>
        <v/>
      </c>
      <c r="N312" s="2" t="s">
        <v>1203</v>
      </c>
      <c r="O312" t="s">
        <v>1598</v>
      </c>
      <c r="P312" t="e">
        <f>VLOOKUP(J312,A311:K913,6,TRUE)</f>
        <v>#N/A</v>
      </c>
    </row>
    <row r="313" spans="1:16" x14ac:dyDescent="0.25">
      <c r="A313" t="s">
        <v>559</v>
      </c>
      <c r="B313" s="1">
        <v>42368</v>
      </c>
      <c r="C313" t="s">
        <v>108</v>
      </c>
      <c r="E313" t="s">
        <v>527</v>
      </c>
      <c r="H313" t="s">
        <v>369</v>
      </c>
      <c r="J313" t="str">
        <f>IF(ISNUMBER(SEARCH("Episode",A313:A916)),A313:A916,"")</f>
        <v/>
      </c>
      <c r="M313" t="str">
        <f t="shared" si="4"/>
        <v/>
      </c>
      <c r="N313" s="2" t="s">
        <v>1204</v>
      </c>
      <c r="O313" t="s">
        <v>1599</v>
      </c>
      <c r="P313" t="e">
        <f>VLOOKUP(J313,A312:K914,6,TRUE)</f>
        <v>#N/A</v>
      </c>
    </row>
    <row r="314" spans="1:16" x14ac:dyDescent="0.25">
      <c r="A314" t="s">
        <v>560</v>
      </c>
      <c r="B314" s="1">
        <v>42373</v>
      </c>
      <c r="C314" t="s">
        <v>108</v>
      </c>
      <c r="E314" t="s">
        <v>527</v>
      </c>
      <c r="F314" t="s">
        <v>68</v>
      </c>
      <c r="G314" t="s">
        <v>561</v>
      </c>
      <c r="H314" t="s">
        <v>12</v>
      </c>
      <c r="J314" t="str">
        <f>IF(ISNUMBER(SEARCH("Episode",A314:A917)),A314:A917,"")</f>
        <v>Episode 231 - Entourage</v>
      </c>
      <c r="M314" t="str">
        <f t="shared" si="4"/>
        <v>Entourage</v>
      </c>
      <c r="N314" s="2" t="s">
        <v>1205</v>
      </c>
      <c r="O314" t="s">
        <v>1600</v>
      </c>
      <c r="P314" t="str">
        <f>VLOOKUP(J314,A313:K915,6,TRUE)</f>
        <v>Episode 17</v>
      </c>
    </row>
    <row r="315" spans="1:16" x14ac:dyDescent="0.25">
      <c r="A315" t="s">
        <v>562</v>
      </c>
      <c r="B315" s="1">
        <v>42380</v>
      </c>
      <c r="C315" t="s">
        <v>108</v>
      </c>
      <c r="E315" t="s">
        <v>527</v>
      </c>
      <c r="F315" t="s">
        <v>71</v>
      </c>
      <c r="G315" t="s">
        <v>561</v>
      </c>
      <c r="H315" t="s">
        <v>12</v>
      </c>
      <c r="J315" t="str">
        <f>IF(ISNUMBER(SEARCH("Episode",A315:A918)),A315:A918,"")</f>
        <v>Episode 232 - Russell Madness</v>
      </c>
      <c r="M315" t="str">
        <f t="shared" si="4"/>
        <v>Russell Madness</v>
      </c>
      <c r="N315" s="2" t="s">
        <v>1206</v>
      </c>
      <c r="O315" t="s">
        <v>1685</v>
      </c>
      <c r="P315" t="str">
        <f>VLOOKUP(J315,A314:K916,6,TRUE)</f>
        <v>Episode 18</v>
      </c>
    </row>
    <row r="316" spans="1:16" x14ac:dyDescent="0.25">
      <c r="A316" t="s">
        <v>563</v>
      </c>
      <c r="B316" s="1">
        <v>42387</v>
      </c>
      <c r="C316" t="s">
        <v>108</v>
      </c>
      <c r="E316" t="s">
        <v>527</v>
      </c>
      <c r="F316" t="s">
        <v>74</v>
      </c>
      <c r="G316" t="s">
        <v>561</v>
      </c>
      <c r="H316" t="s">
        <v>12</v>
      </c>
      <c r="J316" t="str">
        <f>IF(ISNUMBER(SEARCH("Episode",A316:A919)),A316:A919,"")</f>
        <v>Episode 233 - Pixels</v>
      </c>
      <c r="M316" t="str">
        <f t="shared" si="4"/>
        <v>Pixels</v>
      </c>
      <c r="N316" s="2" t="s">
        <v>1207</v>
      </c>
      <c r="O316" t="s">
        <v>1602</v>
      </c>
      <c r="P316" t="str">
        <f>VLOOKUP(J316,A315:K917,6,TRUE)</f>
        <v>Episode 19</v>
      </c>
    </row>
    <row r="317" spans="1:16" x14ac:dyDescent="0.25">
      <c r="A317" t="s">
        <v>564</v>
      </c>
      <c r="B317" s="1">
        <v>42389</v>
      </c>
      <c r="C317" t="s">
        <v>108</v>
      </c>
      <c r="E317" t="s">
        <v>527</v>
      </c>
      <c r="H317" t="s">
        <v>241</v>
      </c>
      <c r="J317" t="str">
        <f>IF(ISNUMBER(SEARCH("Episode",A317:A920)),A317:A920,"")</f>
        <v/>
      </c>
      <c r="M317" t="str">
        <f t="shared" si="4"/>
        <v/>
      </c>
      <c r="N317" s="2" t="s">
        <v>1208</v>
      </c>
      <c r="O317" t="s">
        <v>1603</v>
      </c>
      <c r="P317" t="e">
        <f>VLOOKUP(J317,A316:K918,6,TRUE)</f>
        <v>#N/A</v>
      </c>
    </row>
    <row r="318" spans="1:16" x14ac:dyDescent="0.25">
      <c r="A318" t="s">
        <v>565</v>
      </c>
      <c r="B318" s="1">
        <v>42394</v>
      </c>
      <c r="C318" t="s">
        <v>108</v>
      </c>
      <c r="E318" t="s">
        <v>527</v>
      </c>
      <c r="F318" t="s">
        <v>79</v>
      </c>
      <c r="G318" t="s">
        <v>561</v>
      </c>
      <c r="H318" t="s">
        <v>12</v>
      </c>
      <c r="J318" t="str">
        <f>IF(ISNUMBER(SEARCH("Episode",A318:A921)),A318:A921,"")</f>
        <v>Episode 234 - The Last Witch Hunter</v>
      </c>
      <c r="M318" t="str">
        <f t="shared" si="4"/>
        <v>The Last Witch Hunter</v>
      </c>
      <c r="N318" s="2" t="s">
        <v>1209</v>
      </c>
      <c r="O318" t="s">
        <v>1604</v>
      </c>
      <c r="P318">
        <f>VLOOKUP(J318,A317:K919,6,TRUE)</f>
        <v>0</v>
      </c>
    </row>
    <row r="319" spans="1:16" x14ac:dyDescent="0.25">
      <c r="A319" t="s">
        <v>566</v>
      </c>
      <c r="B319" s="1">
        <v>42397</v>
      </c>
      <c r="C319" t="s">
        <v>108</v>
      </c>
      <c r="E319" t="s">
        <v>527</v>
      </c>
      <c r="G319" t="s">
        <v>561</v>
      </c>
      <c r="H319" t="s">
        <v>369</v>
      </c>
      <c r="J319" t="str">
        <f>IF(ISNUMBER(SEARCH("Episode",A319:A922)),A319:A922,"")</f>
        <v/>
      </c>
      <c r="M319" t="str">
        <f t="shared" si="4"/>
        <v/>
      </c>
      <c r="N319" s="2" t="s">
        <v>1210</v>
      </c>
      <c r="O319" t="s">
        <v>1605</v>
      </c>
      <c r="P319" t="e">
        <f>VLOOKUP(J319,A318:K920,6,TRUE)</f>
        <v>#N/A</v>
      </c>
    </row>
    <row r="320" spans="1:16" x14ac:dyDescent="0.25">
      <c r="A320" t="s">
        <v>567</v>
      </c>
      <c r="B320" s="1">
        <v>42401</v>
      </c>
      <c r="C320" t="s">
        <v>108</v>
      </c>
      <c r="E320" t="s">
        <v>527</v>
      </c>
      <c r="F320" t="s">
        <v>85</v>
      </c>
      <c r="H320" t="s">
        <v>12</v>
      </c>
      <c r="J320" t="str">
        <f>IF(ISNUMBER(SEARCH("Episode",A320:A923)),A320:A923,"")</f>
        <v>Episode 235 - American Shaolin</v>
      </c>
      <c r="M320" t="str">
        <f t="shared" si="4"/>
        <v>American Shaolin</v>
      </c>
      <c r="N320" s="2" t="s">
        <v>1211</v>
      </c>
      <c r="O320" t="s">
        <v>1606</v>
      </c>
      <c r="P320">
        <f>VLOOKUP(J320,A319:K921,6,TRUE)</f>
        <v>0</v>
      </c>
    </row>
    <row r="321" spans="1:16" x14ac:dyDescent="0.25">
      <c r="A321" t="s">
        <v>568</v>
      </c>
      <c r="B321" s="1">
        <v>42408</v>
      </c>
      <c r="C321" t="s">
        <v>108</v>
      </c>
      <c r="E321" t="s">
        <v>527</v>
      </c>
      <c r="F321" t="s">
        <v>143</v>
      </c>
      <c r="H321" t="s">
        <v>12</v>
      </c>
      <c r="J321" t="str">
        <f>IF(ISNUMBER(SEARCH("Episode",A321:A924)),A321:A924,"")</f>
        <v>Episode 236 - Daredevil</v>
      </c>
      <c r="M321" t="str">
        <f t="shared" si="4"/>
        <v>Daredevil</v>
      </c>
      <c r="N321" s="2" t="s">
        <v>1212</v>
      </c>
      <c r="O321" t="s">
        <v>1607</v>
      </c>
      <c r="P321" t="str">
        <f>VLOOKUP(J321,A320:K922,6,TRUE)</f>
        <v>Episode 22</v>
      </c>
    </row>
    <row r="322" spans="1:16" x14ac:dyDescent="0.25">
      <c r="A322" t="s">
        <v>569</v>
      </c>
      <c r="B322" s="1">
        <v>42415</v>
      </c>
      <c r="C322" t="s">
        <v>108</v>
      </c>
      <c r="E322" t="s">
        <v>527</v>
      </c>
      <c r="F322" t="s">
        <v>145</v>
      </c>
      <c r="H322" t="s">
        <v>12</v>
      </c>
      <c r="J322" t="str">
        <f>IF(ISNUMBER(SEARCH("Episode",A322:A925)),A322:A925,"")</f>
        <v>Episode 237 - The Watcher</v>
      </c>
      <c r="M322" t="str">
        <f t="shared" si="4"/>
        <v>The Watcher</v>
      </c>
      <c r="N322" s="2" t="s">
        <v>1213</v>
      </c>
      <c r="O322" t="s">
        <v>1608</v>
      </c>
      <c r="P322">
        <f>VLOOKUP(J322,A321:K923,6,TRUE)</f>
        <v>0</v>
      </c>
    </row>
    <row r="323" spans="1:16" x14ac:dyDescent="0.25">
      <c r="A323" t="s">
        <v>570</v>
      </c>
      <c r="B323" s="1">
        <v>42417</v>
      </c>
      <c r="C323" t="s">
        <v>108</v>
      </c>
      <c r="E323" t="s">
        <v>527</v>
      </c>
      <c r="H323" t="s">
        <v>241</v>
      </c>
      <c r="J323" t="str">
        <f>IF(ISNUMBER(SEARCH("Episode",A323:A926)),A323:A926,"")</f>
        <v/>
      </c>
      <c r="M323" t="str">
        <f t="shared" ref="M323:M386" si="5">REPLACE(J323,1,14,"")</f>
        <v/>
      </c>
      <c r="N323" s="2" t="s">
        <v>1214</v>
      </c>
      <c r="O323" t="s">
        <v>1609</v>
      </c>
      <c r="P323" t="e">
        <f>VLOOKUP(J323,A322:K924,6,TRUE)</f>
        <v>#N/A</v>
      </c>
    </row>
    <row r="324" spans="1:16" x14ac:dyDescent="0.25">
      <c r="A324" t="s">
        <v>571</v>
      </c>
      <c r="B324" s="1">
        <v>42422</v>
      </c>
      <c r="C324" t="s">
        <v>108</v>
      </c>
      <c r="E324" t="s">
        <v>527</v>
      </c>
      <c r="F324" t="s">
        <v>148</v>
      </c>
      <c r="G324" t="s">
        <v>572</v>
      </c>
      <c r="H324" t="s">
        <v>12</v>
      </c>
      <c r="J324" t="str">
        <f>IF(ISNUMBER(SEARCH("Episode",A324:A927)),A324:A927,"")</f>
        <v>Episode 238 - Olympus Has Fallen (Live in D.C.)</v>
      </c>
      <c r="M324" t="str">
        <f t="shared" si="5"/>
        <v>Olympus Has Fallen (Live in D.C.)</v>
      </c>
      <c r="N324" s="2" t="s">
        <v>1215</v>
      </c>
      <c r="O324" t="s">
        <v>1610</v>
      </c>
      <c r="P324" t="str">
        <f>VLOOKUP(J324,A323:K925,6,TRUE)</f>
        <v>Episode 24</v>
      </c>
    </row>
    <row r="325" spans="1:16" x14ac:dyDescent="0.25">
      <c r="A325" t="s">
        <v>573</v>
      </c>
      <c r="B325" s="1">
        <v>42424</v>
      </c>
      <c r="C325" t="s">
        <v>108</v>
      </c>
      <c r="E325" t="s">
        <v>527</v>
      </c>
      <c r="H325" t="s">
        <v>34</v>
      </c>
      <c r="J325" t="str">
        <f>IF(ISNUMBER(SEARCH("Episode",A325:A928)),A325:A928,"")</f>
        <v/>
      </c>
      <c r="M325" t="str">
        <f t="shared" si="5"/>
        <v/>
      </c>
      <c r="N325" s="2" t="s">
        <v>1216</v>
      </c>
      <c r="O325" t="s">
        <v>1611</v>
      </c>
      <c r="P325" t="e">
        <f>VLOOKUP(J325,A324:K926,6,TRUE)</f>
        <v>#N/A</v>
      </c>
    </row>
    <row r="326" spans="1:16" x14ac:dyDescent="0.25">
      <c r="A326" t="s">
        <v>574</v>
      </c>
      <c r="B326" s="1">
        <v>42425</v>
      </c>
      <c r="C326" t="s">
        <v>108</v>
      </c>
      <c r="E326" t="s">
        <v>527</v>
      </c>
      <c r="H326" t="s">
        <v>34</v>
      </c>
      <c r="J326" t="str">
        <f>IF(ISNUMBER(SEARCH("Episode",A326:A929)),A326:A929,"")</f>
        <v/>
      </c>
      <c r="M326" t="str">
        <f t="shared" si="5"/>
        <v/>
      </c>
      <c r="N326" s="2" t="s">
        <v>1217</v>
      </c>
      <c r="O326" t="s">
        <v>1612</v>
      </c>
      <c r="P326" t="e">
        <f>VLOOKUP(J326,A325:K927,6,TRUE)</f>
        <v>#N/A</v>
      </c>
    </row>
    <row r="327" spans="1:16" x14ac:dyDescent="0.25">
      <c r="A327" t="s">
        <v>575</v>
      </c>
      <c r="B327" s="1">
        <v>42428</v>
      </c>
      <c r="C327" t="s">
        <v>108</v>
      </c>
      <c r="E327" t="s">
        <v>527</v>
      </c>
      <c r="H327" t="s">
        <v>369</v>
      </c>
      <c r="J327" t="str">
        <f>IF(ISNUMBER(SEARCH("Episode",A327:A930)),A327:A930,"")</f>
        <v/>
      </c>
      <c r="M327" t="str">
        <f t="shared" si="5"/>
        <v/>
      </c>
      <c r="N327" s="2" t="s">
        <v>1218</v>
      </c>
      <c r="O327" t="s">
        <v>1613</v>
      </c>
      <c r="P327" t="e">
        <f>VLOOKUP(J327,A326:K928,6,TRUE)</f>
        <v>#N/A</v>
      </c>
    </row>
    <row r="328" spans="1:16" x14ac:dyDescent="0.25">
      <c r="A328" t="s">
        <v>576</v>
      </c>
      <c r="B328" s="1">
        <v>42429</v>
      </c>
      <c r="C328" t="s">
        <v>108</v>
      </c>
      <c r="E328" t="s">
        <v>527</v>
      </c>
      <c r="F328" t="s">
        <v>151</v>
      </c>
      <c r="H328" t="s">
        <v>12</v>
      </c>
      <c r="J328" t="str">
        <f>IF(ISNUMBER(SEARCH("Episode",A328:A931)),A328:A931,"")</f>
        <v>Episode 239 - The Shadow</v>
      </c>
      <c r="M328" t="str">
        <f t="shared" si="5"/>
        <v>The Shadow</v>
      </c>
      <c r="N328" s="2" t="s">
        <v>1219</v>
      </c>
      <c r="O328" t="s">
        <v>1614</v>
      </c>
      <c r="P328" t="str">
        <f>VLOOKUP(J328,A327:K929,6,TRUE)</f>
        <v>Episode 25</v>
      </c>
    </row>
    <row r="329" spans="1:16" x14ac:dyDescent="0.25">
      <c r="A329" t="s">
        <v>577</v>
      </c>
      <c r="B329" s="1">
        <v>42436</v>
      </c>
      <c r="C329" t="s">
        <v>108</v>
      </c>
      <c r="E329" t="s">
        <v>527</v>
      </c>
      <c r="F329" t="s">
        <v>154</v>
      </c>
      <c r="G329" t="s">
        <v>578</v>
      </c>
      <c r="H329" t="s">
        <v>12</v>
      </c>
      <c r="J329" t="str">
        <f>IF(ISNUMBER(SEARCH("Episode",A329:A932)),A329:A932,"")</f>
        <v>Episode 240 - A Letter from Death Row</v>
      </c>
      <c r="M329" t="str">
        <f t="shared" si="5"/>
        <v>A Letter from Death Row</v>
      </c>
      <c r="N329" s="2" t="s">
        <v>1220</v>
      </c>
      <c r="O329" t="s">
        <v>1615</v>
      </c>
      <c r="P329" t="str">
        <f>VLOOKUP(J329,A328:K930,6,TRUE)</f>
        <v>Episode 26</v>
      </c>
    </row>
    <row r="330" spans="1:16" x14ac:dyDescent="0.25">
      <c r="A330" t="s">
        <v>579</v>
      </c>
      <c r="B330" s="1">
        <v>42443</v>
      </c>
      <c r="C330" t="s">
        <v>108</v>
      </c>
      <c r="E330" t="s">
        <v>527</v>
      </c>
      <c r="F330" t="s">
        <v>157</v>
      </c>
      <c r="G330" t="s">
        <v>578</v>
      </c>
      <c r="H330" t="s">
        <v>12</v>
      </c>
      <c r="J330" t="str">
        <f>IF(ISNUMBER(SEARCH("Episode",A330:A933)),A330:A933,"")</f>
        <v>Episode 241 - Nightmare Beach</v>
      </c>
      <c r="M330" t="str">
        <f t="shared" si="5"/>
        <v>Nightmare Beach</v>
      </c>
      <c r="N330" s="2" t="s">
        <v>1221</v>
      </c>
      <c r="O330" t="s">
        <v>1616</v>
      </c>
      <c r="P330" t="str">
        <f>VLOOKUP(J330,A329:K931,6,TRUE)</f>
        <v>Episode 27</v>
      </c>
    </row>
    <row r="331" spans="1:16" x14ac:dyDescent="0.25">
      <c r="A331" t="s">
        <v>580</v>
      </c>
      <c r="B331" s="1">
        <v>42445</v>
      </c>
      <c r="C331" t="s">
        <v>108</v>
      </c>
      <c r="E331" t="s">
        <v>527</v>
      </c>
      <c r="H331" t="s">
        <v>241</v>
      </c>
      <c r="J331" t="str">
        <f>IF(ISNUMBER(SEARCH("Episode",A331:A934)),A331:A934,"")</f>
        <v/>
      </c>
      <c r="M331" t="str">
        <f t="shared" si="5"/>
        <v/>
      </c>
      <c r="N331" s="2" t="s">
        <v>1222</v>
      </c>
      <c r="O331" t="s">
        <v>1617</v>
      </c>
      <c r="P331" t="e">
        <f>VLOOKUP(J331,A330:K932,6,TRUE)</f>
        <v>#N/A</v>
      </c>
    </row>
    <row r="332" spans="1:16" x14ac:dyDescent="0.25">
      <c r="A332" t="s">
        <v>581</v>
      </c>
      <c r="B332" s="1">
        <v>42450</v>
      </c>
      <c r="C332" t="s">
        <v>108</v>
      </c>
      <c r="E332" t="s">
        <v>527</v>
      </c>
      <c r="F332" t="s">
        <v>160</v>
      </c>
      <c r="G332" t="s">
        <v>578</v>
      </c>
      <c r="H332" t="s">
        <v>12</v>
      </c>
      <c r="J332" t="str">
        <f>IF(ISNUMBER(SEARCH("Episode",A332:A935)),A332:A935,"")</f>
        <v>Episode 242 - Antitrust</v>
      </c>
      <c r="M332" t="str">
        <f t="shared" si="5"/>
        <v>Antitrust</v>
      </c>
      <c r="N332" s="2" t="s">
        <v>1223</v>
      </c>
      <c r="O332" t="s">
        <v>1618</v>
      </c>
      <c r="P332">
        <f>VLOOKUP(J332,A331:K933,6,TRUE)</f>
        <v>0</v>
      </c>
    </row>
    <row r="333" spans="1:16" x14ac:dyDescent="0.25">
      <c r="A333" t="s">
        <v>582</v>
      </c>
      <c r="B333" s="1">
        <v>42457</v>
      </c>
      <c r="C333" t="s">
        <v>108</v>
      </c>
      <c r="E333" t="s">
        <v>527</v>
      </c>
      <c r="F333" t="s">
        <v>163</v>
      </c>
      <c r="G333" t="s">
        <v>578</v>
      </c>
      <c r="H333" t="s">
        <v>12</v>
      </c>
      <c r="J333" t="str">
        <f>IF(ISNUMBER(SEARCH("Episode",A333:A936)),A333:A936,"")</f>
        <v>Episode 243 - Batman v Superman: Dawn of Justice</v>
      </c>
      <c r="M333" t="str">
        <f t="shared" si="5"/>
        <v>Batman v Superman: Dawn of Justice</v>
      </c>
      <c r="N333" s="2" t="s">
        <v>1224</v>
      </c>
      <c r="O333" t="s">
        <v>1686</v>
      </c>
      <c r="P333" t="str">
        <f>VLOOKUP(J333,A332:K934,6,TRUE)</f>
        <v>Episode 29</v>
      </c>
    </row>
    <row r="334" spans="1:16" x14ac:dyDescent="0.25">
      <c r="A334" t="s">
        <v>583</v>
      </c>
      <c r="B334" s="1">
        <v>42459</v>
      </c>
      <c r="C334" t="s">
        <v>108</v>
      </c>
      <c r="E334" t="s">
        <v>527</v>
      </c>
      <c r="H334" t="s">
        <v>369</v>
      </c>
      <c r="J334" t="str">
        <f>IF(ISNUMBER(SEARCH("Episode",A334:A937)),A334:A937,"")</f>
        <v/>
      </c>
      <c r="M334" t="str">
        <f t="shared" si="5"/>
        <v/>
      </c>
      <c r="N334" s="2" t="s">
        <v>1225</v>
      </c>
      <c r="O334" t="s">
        <v>1619</v>
      </c>
      <c r="P334" t="e">
        <f>VLOOKUP(J334,A333:K935,6,TRUE)</f>
        <v>#N/A</v>
      </c>
    </row>
    <row r="335" spans="1:16" x14ac:dyDescent="0.25">
      <c r="A335" t="s">
        <v>584</v>
      </c>
      <c r="B335" s="1">
        <v>42464</v>
      </c>
      <c r="C335" t="s">
        <v>108</v>
      </c>
      <c r="E335" t="s">
        <v>527</v>
      </c>
      <c r="F335" t="s">
        <v>166</v>
      </c>
      <c r="G335" t="s">
        <v>578</v>
      </c>
      <c r="H335" t="s">
        <v>12</v>
      </c>
      <c r="J335" t="str">
        <f>IF(ISNUMBER(SEARCH("Episode",A335:A938)),A335:A938,"")</f>
        <v>Episode 244 - Dungeons &amp; Dragons</v>
      </c>
      <c r="M335" t="str">
        <f t="shared" si="5"/>
        <v>Dungeons &amp; Dragons</v>
      </c>
      <c r="N335" s="2" t="s">
        <v>1226</v>
      </c>
      <c r="O335" t="s">
        <v>1620</v>
      </c>
      <c r="P335" t="str">
        <f>VLOOKUP(J335,A334:K936,6,TRUE)</f>
        <v>Episode 30</v>
      </c>
    </row>
    <row r="336" spans="1:16" x14ac:dyDescent="0.25">
      <c r="A336" t="s">
        <v>585</v>
      </c>
      <c r="B336" s="1">
        <v>42471</v>
      </c>
      <c r="C336" t="s">
        <v>108</v>
      </c>
      <c r="E336" t="s">
        <v>527</v>
      </c>
      <c r="F336" t="s">
        <v>169</v>
      </c>
      <c r="H336" t="s">
        <v>12</v>
      </c>
      <c r="J336" t="str">
        <f>IF(ISNUMBER(SEARCH("Episode",A336:A939)),A336:A939,"")</f>
        <v>Episode 245 - My Best Friend's Wedding</v>
      </c>
      <c r="M336" t="str">
        <f t="shared" si="5"/>
        <v>My Best Friend's Wedding</v>
      </c>
      <c r="N336" s="2" t="s">
        <v>1227</v>
      </c>
      <c r="O336" t="s">
        <v>1621</v>
      </c>
      <c r="P336">
        <f>VLOOKUP(J336,A335:K937,6,TRUE)</f>
        <v>0</v>
      </c>
    </row>
    <row r="337" spans="1:16" x14ac:dyDescent="0.25">
      <c r="A337" t="s">
        <v>586</v>
      </c>
      <c r="B337" s="1">
        <v>42478</v>
      </c>
      <c r="C337" t="s">
        <v>108</v>
      </c>
      <c r="E337" t="s">
        <v>527</v>
      </c>
      <c r="F337" t="s">
        <v>172</v>
      </c>
      <c r="H337" t="s">
        <v>12</v>
      </c>
      <c r="J337" t="str">
        <f>IF(ISNUMBER(SEARCH("Episode",A337:A940)),A337:A940,"")</f>
        <v>Episode 246 - The Wizard</v>
      </c>
      <c r="M337" t="str">
        <f t="shared" si="5"/>
        <v>The Wizard</v>
      </c>
      <c r="N337" s="2" t="s">
        <v>1228</v>
      </c>
      <c r="O337" t="s">
        <v>1622</v>
      </c>
      <c r="P337" t="str">
        <f>VLOOKUP(J337,A336:K938,6,TRUE)</f>
        <v>Episode 32</v>
      </c>
    </row>
    <row r="338" spans="1:16" x14ac:dyDescent="0.25">
      <c r="A338" t="s">
        <v>587</v>
      </c>
      <c r="B338" s="1">
        <v>42484</v>
      </c>
      <c r="C338" t="s">
        <v>108</v>
      </c>
      <c r="E338" t="s">
        <v>527</v>
      </c>
      <c r="H338" t="s">
        <v>369</v>
      </c>
      <c r="J338" t="str">
        <f>IF(ISNUMBER(SEARCH("Episode",A338:A941)),A338:A941,"")</f>
        <v/>
      </c>
      <c r="M338" t="str">
        <f t="shared" si="5"/>
        <v/>
      </c>
      <c r="N338" s="2" t="s">
        <v>1229</v>
      </c>
      <c r="O338" t="s">
        <v>1623</v>
      </c>
      <c r="P338" t="e">
        <f>VLOOKUP(J338,A337:K939,6,TRUE)</f>
        <v>#N/A</v>
      </c>
    </row>
    <row r="339" spans="1:16" x14ac:dyDescent="0.25">
      <c r="A339" t="s">
        <v>588</v>
      </c>
      <c r="B339" s="1">
        <v>42485</v>
      </c>
      <c r="C339" t="s">
        <v>108</v>
      </c>
      <c r="E339" t="s">
        <v>527</v>
      </c>
      <c r="F339" t="s">
        <v>175</v>
      </c>
      <c r="H339" t="s">
        <v>12</v>
      </c>
      <c r="J339" t="str">
        <f>IF(ISNUMBER(SEARCH("Episode",A339:A942)),A339:A942,"")</f>
        <v>Episode 247 - Larry the Cable Guy: Health Inspector</v>
      </c>
      <c r="M339" t="str">
        <f t="shared" si="5"/>
        <v>Larry the Cable Guy: Health Inspector</v>
      </c>
      <c r="N339" s="2" t="s">
        <v>1230</v>
      </c>
      <c r="O339" t="s">
        <v>1624</v>
      </c>
      <c r="P339" t="str">
        <f>VLOOKUP(J339,A338:K940,6,TRUE)</f>
        <v>Episode 33</v>
      </c>
    </row>
    <row r="340" spans="1:16" x14ac:dyDescent="0.25">
      <c r="A340" t="s">
        <v>589</v>
      </c>
      <c r="B340" s="1">
        <v>42488</v>
      </c>
      <c r="C340" t="s">
        <v>108</v>
      </c>
      <c r="E340" t="s">
        <v>527</v>
      </c>
      <c r="H340" t="s">
        <v>241</v>
      </c>
      <c r="J340" t="str">
        <f>IF(ISNUMBER(SEARCH("Episode",A340:A943)),A340:A943,"")</f>
        <v/>
      </c>
      <c r="M340" t="str">
        <f t="shared" si="5"/>
        <v/>
      </c>
      <c r="N340" s="2" t="s">
        <v>1231</v>
      </c>
      <c r="O340" t="s">
        <v>1625</v>
      </c>
      <c r="P340" t="e">
        <f>VLOOKUP(J340,A339:K941,6,TRUE)</f>
        <v>#N/A</v>
      </c>
    </row>
    <row r="341" spans="1:16" x14ac:dyDescent="0.25">
      <c r="A341" t="s">
        <v>590</v>
      </c>
      <c r="B341" s="1">
        <v>42492</v>
      </c>
      <c r="C341" t="s">
        <v>108</v>
      </c>
      <c r="E341" t="s">
        <v>527</v>
      </c>
      <c r="F341" t="s">
        <v>177</v>
      </c>
      <c r="G341" t="s">
        <v>572</v>
      </c>
      <c r="H341" t="s">
        <v>12</v>
      </c>
      <c r="J341" t="str">
        <f>IF(ISNUMBER(SEARCH("Episode",A341:A944)),A341:A944,"")</f>
        <v>Episode 248 - Waterworld (Live!)</v>
      </c>
      <c r="M341" t="str">
        <f t="shared" si="5"/>
        <v>Waterworld (Live!)</v>
      </c>
      <c r="N341" s="2" t="s">
        <v>1232</v>
      </c>
      <c r="O341" t="s">
        <v>1626</v>
      </c>
      <c r="P341">
        <f>VLOOKUP(J341,A340:K942,6,TRUE)</f>
        <v>0</v>
      </c>
    </row>
    <row r="342" spans="1:16" x14ac:dyDescent="0.25">
      <c r="A342" t="s">
        <v>591</v>
      </c>
      <c r="B342" s="1">
        <v>42499</v>
      </c>
      <c r="C342" t="s">
        <v>108</v>
      </c>
      <c r="E342" t="s">
        <v>527</v>
      </c>
      <c r="F342" t="s">
        <v>180</v>
      </c>
      <c r="H342" t="s">
        <v>12</v>
      </c>
      <c r="J342" t="str">
        <f>IF(ISNUMBER(SEARCH("Episode",A342:A945)),A342:A945,"")</f>
        <v>Episode 249 - American Dreamz</v>
      </c>
      <c r="M342" t="str">
        <f t="shared" si="5"/>
        <v>American Dreamz</v>
      </c>
      <c r="N342" s="2" t="s">
        <v>1233</v>
      </c>
      <c r="O342" t="s">
        <v>1627</v>
      </c>
      <c r="P342" t="str">
        <f>VLOOKUP(J342,A341:K943,6,TRUE)</f>
        <v>Episode 35</v>
      </c>
    </row>
    <row r="343" spans="1:16" x14ac:dyDescent="0.25">
      <c r="A343" t="s">
        <v>592</v>
      </c>
      <c r="B343" s="1">
        <v>42506</v>
      </c>
      <c r="C343" t="s">
        <v>108</v>
      </c>
      <c r="E343" t="s">
        <v>527</v>
      </c>
      <c r="F343" t="s">
        <v>183</v>
      </c>
      <c r="H343" t="s">
        <v>12</v>
      </c>
      <c r="J343" t="str">
        <f>IF(ISNUMBER(SEARCH("Episode",A343:A946)),A343:A946,"")</f>
        <v>Episode 250 - Highlander II: The Quickening</v>
      </c>
      <c r="M343" t="str">
        <f t="shared" si="5"/>
        <v>Highlander II: The Quickening</v>
      </c>
      <c r="N343" s="2" t="s">
        <v>1234</v>
      </c>
      <c r="O343" t="s">
        <v>1628</v>
      </c>
      <c r="P343" t="str">
        <f>VLOOKUP(J343,A342:K944,6,TRUE)</f>
        <v>Episode 36</v>
      </c>
    </row>
    <row r="344" spans="1:16" x14ac:dyDescent="0.25">
      <c r="A344" t="s">
        <v>593</v>
      </c>
      <c r="B344" s="1">
        <v>42509</v>
      </c>
      <c r="C344" t="s">
        <v>108</v>
      </c>
      <c r="E344" t="s">
        <v>527</v>
      </c>
      <c r="H344" t="s">
        <v>34</v>
      </c>
      <c r="J344" t="str">
        <f>IF(ISNUMBER(SEARCH("Episode",A344:A947)),A344:A947,"")</f>
        <v/>
      </c>
      <c r="M344" t="str">
        <f t="shared" si="5"/>
        <v/>
      </c>
      <c r="N344" s="2" t="s">
        <v>1235</v>
      </c>
      <c r="O344" t="s">
        <v>1629</v>
      </c>
      <c r="P344" t="e">
        <f>VLOOKUP(J344,A343:K945,6,TRUE)</f>
        <v>#N/A</v>
      </c>
    </row>
    <row r="345" spans="1:16" x14ac:dyDescent="0.25">
      <c r="A345" t="s">
        <v>594</v>
      </c>
      <c r="B345" s="1">
        <v>42513</v>
      </c>
      <c r="C345" t="s">
        <v>108</v>
      </c>
      <c r="E345" t="s">
        <v>527</v>
      </c>
      <c r="F345" t="s">
        <v>186</v>
      </c>
      <c r="H345" t="s">
        <v>12</v>
      </c>
      <c r="J345" t="str">
        <f>IF(ISNUMBER(SEARCH("Episode",A345:A948)),A345:A948,"")</f>
        <v>Episode 251 - Kindergarten Cop 2</v>
      </c>
      <c r="M345" t="str">
        <f t="shared" si="5"/>
        <v>Kindergarten Cop 2</v>
      </c>
      <c r="N345" s="2" t="s">
        <v>1236</v>
      </c>
      <c r="O345" t="s">
        <v>1630</v>
      </c>
      <c r="P345">
        <f>VLOOKUP(J345,A344:K946,6,TRUE)</f>
        <v>0</v>
      </c>
    </row>
    <row r="346" spans="1:16" x14ac:dyDescent="0.25">
      <c r="A346" t="s">
        <v>595</v>
      </c>
      <c r="B346" s="1">
        <v>42516</v>
      </c>
      <c r="C346" t="s">
        <v>108</v>
      </c>
      <c r="E346" t="s">
        <v>527</v>
      </c>
      <c r="H346" t="s">
        <v>241</v>
      </c>
      <c r="J346" t="str">
        <f>IF(ISNUMBER(SEARCH("Episode",A346:A949)),A346:A949,"")</f>
        <v/>
      </c>
      <c r="M346" t="str">
        <f t="shared" si="5"/>
        <v/>
      </c>
      <c r="N346" s="2" t="s">
        <v>1237</v>
      </c>
      <c r="O346" t="s">
        <v>1631</v>
      </c>
      <c r="P346" t="e">
        <f>VLOOKUP(J346,A345:K947,6,TRUE)</f>
        <v>#N/A</v>
      </c>
    </row>
    <row r="347" spans="1:16" x14ac:dyDescent="0.25">
      <c r="A347" t="s">
        <v>596</v>
      </c>
      <c r="B347" s="1">
        <v>42520</v>
      </c>
      <c r="C347" t="s">
        <v>108</v>
      </c>
      <c r="E347" t="s">
        <v>527</v>
      </c>
      <c r="F347" t="s">
        <v>188</v>
      </c>
      <c r="G347" t="s">
        <v>597</v>
      </c>
      <c r="H347" t="s">
        <v>12</v>
      </c>
      <c r="J347" t="str">
        <f>IF(ISNUMBER(SEARCH("Episode",A347:A950)),A347:A950,"")</f>
        <v>Episode 252 - X-Men: The Last Stand</v>
      </c>
      <c r="M347" t="str">
        <f t="shared" si="5"/>
        <v>X-Men: The Last Stand</v>
      </c>
      <c r="N347" s="2" t="s">
        <v>1238</v>
      </c>
      <c r="O347" t="s">
        <v>1632</v>
      </c>
      <c r="P347">
        <f>VLOOKUP(J347,A346:K948,6,TRUE)</f>
        <v>0</v>
      </c>
    </row>
    <row r="348" spans="1:16" x14ac:dyDescent="0.25">
      <c r="A348" t="s">
        <v>598</v>
      </c>
      <c r="B348" s="1">
        <v>42523</v>
      </c>
      <c r="C348" t="s">
        <v>108</v>
      </c>
      <c r="E348" t="s">
        <v>527</v>
      </c>
      <c r="H348" t="s">
        <v>369</v>
      </c>
      <c r="J348" t="str">
        <f>IF(ISNUMBER(SEARCH("Episode",A348:A951)),A348:A951,"")</f>
        <v/>
      </c>
      <c r="M348" t="str">
        <f t="shared" si="5"/>
        <v/>
      </c>
      <c r="N348" s="2" t="s">
        <v>1239</v>
      </c>
      <c r="O348" t="s">
        <v>1633</v>
      </c>
      <c r="P348" t="e">
        <f>VLOOKUP(J348,A347:K949,6,TRUE)</f>
        <v>#N/A</v>
      </c>
    </row>
    <row r="349" spans="1:16" x14ac:dyDescent="0.25">
      <c r="A349" t="s">
        <v>599</v>
      </c>
      <c r="B349" s="1">
        <v>42523</v>
      </c>
      <c r="C349" t="s">
        <v>108</v>
      </c>
      <c r="E349" t="s">
        <v>527</v>
      </c>
      <c r="H349" t="s">
        <v>34</v>
      </c>
      <c r="J349" t="str">
        <f>IF(ISNUMBER(SEARCH("Episode",A349:A952)),A349:A952,"")</f>
        <v/>
      </c>
      <c r="M349" t="str">
        <f t="shared" si="5"/>
        <v/>
      </c>
      <c r="N349" s="2" t="s">
        <v>1240</v>
      </c>
      <c r="O349" t="s">
        <v>1634</v>
      </c>
      <c r="P349" t="e">
        <f>VLOOKUP(J349,A348:K950,6,TRUE)</f>
        <v>#N/A</v>
      </c>
    </row>
    <row r="350" spans="1:16" x14ac:dyDescent="0.25">
      <c r="A350" t="s">
        <v>600</v>
      </c>
      <c r="B350" s="1">
        <v>42527</v>
      </c>
      <c r="C350" t="s">
        <v>108</v>
      </c>
      <c r="E350" t="s">
        <v>527</v>
      </c>
      <c r="F350" t="s">
        <v>191</v>
      </c>
      <c r="G350" t="s">
        <v>597</v>
      </c>
      <c r="H350" t="s">
        <v>12</v>
      </c>
      <c r="J350" t="str">
        <f>IF(ISNUMBER(SEARCH("Episode",A350:A953)),A350:A953,"")</f>
        <v>Episode 253 - Speed 2: Cruise Control</v>
      </c>
      <c r="M350" t="str">
        <f t="shared" si="5"/>
        <v>Speed 2: Cruise Control</v>
      </c>
      <c r="N350" s="2" t="s">
        <v>1241</v>
      </c>
      <c r="O350" t="s">
        <v>1635</v>
      </c>
      <c r="P350">
        <f>VLOOKUP(J350,A349:K951,6,TRUE)</f>
        <v>0</v>
      </c>
    </row>
    <row r="351" spans="1:16" x14ac:dyDescent="0.25">
      <c r="A351" t="s">
        <v>601</v>
      </c>
      <c r="B351" s="1">
        <v>42530</v>
      </c>
      <c r="C351" t="s">
        <v>108</v>
      </c>
      <c r="E351" t="s">
        <v>527</v>
      </c>
      <c r="H351" t="s">
        <v>34</v>
      </c>
      <c r="J351" t="str">
        <f>IF(ISNUMBER(SEARCH("Episode",A351:A954)),A351:A954,"")</f>
        <v/>
      </c>
      <c r="M351" t="str">
        <f t="shared" si="5"/>
        <v/>
      </c>
      <c r="N351" s="2" t="s">
        <v>1242</v>
      </c>
      <c r="O351" t="s">
        <v>1636</v>
      </c>
      <c r="P351" t="e">
        <f>VLOOKUP(J351,A350:K952,6,TRUE)</f>
        <v>#N/A</v>
      </c>
    </row>
    <row r="352" spans="1:16" x14ac:dyDescent="0.25">
      <c r="A352" t="s">
        <v>602</v>
      </c>
      <c r="B352" s="1">
        <v>42534</v>
      </c>
      <c r="C352" t="s">
        <v>108</v>
      </c>
      <c r="E352" t="s">
        <v>527</v>
      </c>
      <c r="F352" t="s">
        <v>194</v>
      </c>
      <c r="G352" t="s">
        <v>597</v>
      </c>
      <c r="H352" t="s">
        <v>12</v>
      </c>
      <c r="J352" t="str">
        <f>IF(ISNUMBER(SEARCH("Episode",A352:A955)),A352:A955,"")</f>
        <v>Episode 254 - Don't Tell Mom the Babysitter's Dead</v>
      </c>
      <c r="M352" t="str">
        <f t="shared" si="5"/>
        <v>Don't Tell Mom the Babysitter's Dead</v>
      </c>
      <c r="N352" s="2" t="s">
        <v>1243</v>
      </c>
      <c r="O352" t="s">
        <v>1637</v>
      </c>
      <c r="P352">
        <f>VLOOKUP(J352,A351:K953,6,TRUE)</f>
        <v>0</v>
      </c>
    </row>
    <row r="353" spans="1:16" x14ac:dyDescent="0.25">
      <c r="A353" t="s">
        <v>603</v>
      </c>
      <c r="B353" s="1">
        <v>42541</v>
      </c>
      <c r="C353" t="s">
        <v>108</v>
      </c>
      <c r="E353" t="s">
        <v>527</v>
      </c>
      <c r="F353" t="s">
        <v>198</v>
      </c>
      <c r="G353" t="s">
        <v>597</v>
      </c>
      <c r="H353" t="s">
        <v>12</v>
      </c>
      <c r="J353" t="str">
        <f>IF(ISNUMBER(SEARCH("Episode",A353:A956)),A353:A956,"")</f>
        <v>Episode 255 - Street Fighter</v>
      </c>
      <c r="M353" t="str">
        <f t="shared" si="5"/>
        <v>Street Fighter</v>
      </c>
      <c r="N353" s="2" t="s">
        <v>1244</v>
      </c>
      <c r="O353" t="s">
        <v>1638</v>
      </c>
      <c r="P353">
        <f>VLOOKUP(J353,A352:K954,6,TRUE)</f>
        <v>0</v>
      </c>
    </row>
    <row r="354" spans="1:16" x14ac:dyDescent="0.25">
      <c r="A354" t="s">
        <v>604</v>
      </c>
      <c r="B354" s="1">
        <v>42543</v>
      </c>
      <c r="C354" t="s">
        <v>108</v>
      </c>
      <c r="E354" t="s">
        <v>527</v>
      </c>
      <c r="H354" t="s">
        <v>369</v>
      </c>
      <c r="J354" t="str">
        <f>IF(ISNUMBER(SEARCH("Episode",A354:A957)),A354:A957,"")</f>
        <v/>
      </c>
      <c r="M354" t="str">
        <f t="shared" si="5"/>
        <v/>
      </c>
      <c r="N354" s="2" t="s">
        <v>1245</v>
      </c>
      <c r="O354" t="s">
        <v>1639</v>
      </c>
      <c r="P354" t="e">
        <f>VLOOKUP(J354,A353:K955,6,TRUE)</f>
        <v>#N/A</v>
      </c>
    </row>
    <row r="355" spans="1:16" x14ac:dyDescent="0.25">
      <c r="A355" t="s">
        <v>605</v>
      </c>
      <c r="B355" s="1">
        <v>42548</v>
      </c>
      <c r="C355" t="s">
        <v>108</v>
      </c>
      <c r="E355" t="s">
        <v>527</v>
      </c>
      <c r="F355" t="s">
        <v>201</v>
      </c>
      <c r="G355" t="s">
        <v>597</v>
      </c>
      <c r="H355" t="s">
        <v>12</v>
      </c>
      <c r="J355" t="str">
        <f>IF(ISNUMBER(SEARCH("Episode",A355:A958)),A355:A958,"")</f>
        <v>Episode 256 - Another 48 Hrs.</v>
      </c>
      <c r="M355" t="str">
        <f t="shared" si="5"/>
        <v>Another 48 Hrs.</v>
      </c>
      <c r="N355" s="2" t="s">
        <v>1246</v>
      </c>
      <c r="O355" t="s">
        <v>1640</v>
      </c>
      <c r="P355" t="str">
        <f>VLOOKUP(J355,A354:K956,6,TRUE)</f>
        <v>Episode 42</v>
      </c>
    </row>
    <row r="356" spans="1:16" x14ac:dyDescent="0.25">
      <c r="A356" t="s">
        <v>606</v>
      </c>
      <c r="B356" s="1">
        <v>42549</v>
      </c>
      <c r="C356" t="s">
        <v>108</v>
      </c>
      <c r="E356" t="s">
        <v>527</v>
      </c>
      <c r="H356" t="s">
        <v>34</v>
      </c>
      <c r="J356" t="str">
        <f>IF(ISNUMBER(SEARCH("Episode",A356:A959)),A356:A959,"")</f>
        <v/>
      </c>
      <c r="M356" t="str">
        <f t="shared" si="5"/>
        <v/>
      </c>
      <c r="N356" s="2" t="s">
        <v>1247</v>
      </c>
      <c r="O356" t="s">
        <v>1641</v>
      </c>
      <c r="P356" t="e">
        <f>VLOOKUP(J356,A355:K957,6,TRUE)</f>
        <v>#N/A</v>
      </c>
    </row>
    <row r="357" spans="1:16" x14ac:dyDescent="0.25">
      <c r="A357" t="s">
        <v>607</v>
      </c>
      <c r="B357" s="1">
        <v>42550</v>
      </c>
      <c r="C357" t="s">
        <v>108</v>
      </c>
      <c r="E357" t="s">
        <v>527</v>
      </c>
      <c r="H357" t="s">
        <v>241</v>
      </c>
      <c r="J357" t="str">
        <f>IF(ISNUMBER(SEARCH("Episode",A357:A960)),A357:A960,"")</f>
        <v/>
      </c>
      <c r="M357" t="str">
        <f t="shared" si="5"/>
        <v/>
      </c>
      <c r="N357" s="2" t="s">
        <v>1248</v>
      </c>
      <c r="O357" t="s">
        <v>1642</v>
      </c>
      <c r="P357" t="e">
        <f>VLOOKUP(J357,A356:K958,6,TRUE)</f>
        <v>#N/A</v>
      </c>
    </row>
    <row r="358" spans="1:16" x14ac:dyDescent="0.25">
      <c r="A358" t="s">
        <v>608</v>
      </c>
      <c r="B358" s="1">
        <v>42555</v>
      </c>
      <c r="C358" t="s">
        <v>108</v>
      </c>
      <c r="E358" t="s">
        <v>527</v>
      </c>
      <c r="F358" t="s">
        <v>204</v>
      </c>
      <c r="G358" t="s">
        <v>597</v>
      </c>
      <c r="H358" t="s">
        <v>12</v>
      </c>
      <c r="J358" t="str">
        <f>IF(ISNUMBER(SEARCH("Episode",A358:A961)),A358:A961,"")</f>
        <v>Episode 257 - Wild Wild West</v>
      </c>
      <c r="M358" t="str">
        <f t="shared" si="5"/>
        <v>Wild Wild West</v>
      </c>
      <c r="N358" s="2" t="s">
        <v>1249</v>
      </c>
      <c r="O358" t="s">
        <v>1643</v>
      </c>
      <c r="P358">
        <f>VLOOKUP(J358,A357:K959,6,TRUE)</f>
        <v>0</v>
      </c>
    </row>
    <row r="359" spans="1:16" x14ac:dyDescent="0.25">
      <c r="A359" t="s">
        <v>609</v>
      </c>
      <c r="B359" s="1">
        <v>42562</v>
      </c>
      <c r="C359" t="s">
        <v>108</v>
      </c>
      <c r="E359" t="s">
        <v>527</v>
      </c>
      <c r="F359" t="s">
        <v>207</v>
      </c>
      <c r="G359" t="s">
        <v>597</v>
      </c>
      <c r="H359" t="s">
        <v>12</v>
      </c>
      <c r="J359" t="str">
        <f>IF(ISNUMBER(SEARCH("Episode",A359:A962)),A359:A962,"")</f>
        <v>Episode 258 - Lady in the Water</v>
      </c>
      <c r="M359" t="str">
        <f t="shared" si="5"/>
        <v>Lady in the Water</v>
      </c>
      <c r="N359" s="2" t="s">
        <v>1250</v>
      </c>
      <c r="O359" t="s">
        <v>1644</v>
      </c>
      <c r="P359">
        <f>VLOOKUP(J359,A358:K960,6,TRUE)</f>
        <v>0</v>
      </c>
    </row>
    <row r="360" spans="1:16" x14ac:dyDescent="0.25">
      <c r="A360" t="s">
        <v>610</v>
      </c>
      <c r="B360" s="1">
        <v>42569</v>
      </c>
      <c r="C360" t="s">
        <v>108</v>
      </c>
      <c r="E360" t="s">
        <v>527</v>
      </c>
      <c r="F360" t="s">
        <v>210</v>
      </c>
      <c r="G360" t="s">
        <v>597</v>
      </c>
      <c r="H360" t="s">
        <v>12</v>
      </c>
      <c r="J360" t="str">
        <f>IF(ISNUMBER(SEARCH("Episode",A360:A963)),A360:A963,"")</f>
        <v>Episode 259 - Star Trek V: The Final Frontier</v>
      </c>
      <c r="M360" t="str">
        <f t="shared" si="5"/>
        <v>Star Trek V: The Final Frontier</v>
      </c>
      <c r="N360" s="2" t="s">
        <v>1251</v>
      </c>
      <c r="O360" t="s">
        <v>1645</v>
      </c>
      <c r="P360">
        <f>VLOOKUP(J360,A359:K961,6,TRUE)</f>
        <v>0</v>
      </c>
    </row>
    <row r="361" spans="1:16" x14ac:dyDescent="0.25">
      <c r="A361" t="s">
        <v>611</v>
      </c>
      <c r="B361" s="1">
        <v>42571</v>
      </c>
      <c r="C361" t="s">
        <v>108</v>
      </c>
      <c r="E361" t="s">
        <v>527</v>
      </c>
      <c r="H361" t="s">
        <v>369</v>
      </c>
      <c r="J361" t="str">
        <f>IF(ISNUMBER(SEARCH("Episode",A361:A964)),A361:A964,"")</f>
        <v/>
      </c>
      <c r="M361" t="str">
        <f t="shared" si="5"/>
        <v/>
      </c>
      <c r="N361" s="2" t="s">
        <v>1252</v>
      </c>
      <c r="O361" t="s">
        <v>1646</v>
      </c>
      <c r="P361" t="e">
        <f>VLOOKUP(J361,A360:K962,6,TRUE)</f>
        <v>#N/A</v>
      </c>
    </row>
    <row r="362" spans="1:16" x14ac:dyDescent="0.25">
      <c r="A362" t="s">
        <v>612</v>
      </c>
      <c r="B362" s="1">
        <v>42576</v>
      </c>
      <c r="C362" t="s">
        <v>108</v>
      </c>
      <c r="E362" t="s">
        <v>527</v>
      </c>
      <c r="F362" t="s">
        <v>213</v>
      </c>
      <c r="G362" t="s">
        <v>597</v>
      </c>
      <c r="H362" t="s">
        <v>12</v>
      </c>
      <c r="J362" t="str">
        <f>IF(ISNUMBER(SEARCH("Episode",A362:A965)),A362:A965,"")</f>
        <v>Episode 260 - Con Air</v>
      </c>
      <c r="M362" t="str">
        <f t="shared" si="5"/>
        <v>Con Air</v>
      </c>
      <c r="N362" s="2" t="s">
        <v>1253</v>
      </c>
      <c r="O362" t="s">
        <v>1647</v>
      </c>
      <c r="P362">
        <f>VLOOKUP(J362,A361:K963,6,TRUE)</f>
        <v>0</v>
      </c>
    </row>
    <row r="363" spans="1:16" x14ac:dyDescent="0.25">
      <c r="A363" t="s">
        <v>613</v>
      </c>
      <c r="B363" s="1">
        <v>42579</v>
      </c>
      <c r="C363" t="s">
        <v>108</v>
      </c>
      <c r="E363" t="s">
        <v>527</v>
      </c>
      <c r="H363" t="s">
        <v>241</v>
      </c>
      <c r="J363" t="str">
        <f>IF(ISNUMBER(SEARCH("Episode",A363:A966)),A363:A966,"")</f>
        <v/>
      </c>
      <c r="M363" t="str">
        <f t="shared" si="5"/>
        <v/>
      </c>
      <c r="N363" s="2" t="s">
        <v>1254</v>
      </c>
      <c r="O363" t="s">
        <v>1648</v>
      </c>
      <c r="P363" t="e">
        <f>VLOOKUP(J363,A362:K964,6,TRUE)</f>
        <v>#N/A</v>
      </c>
    </row>
    <row r="364" spans="1:16" x14ac:dyDescent="0.25">
      <c r="A364" t="s">
        <v>614</v>
      </c>
      <c r="B364" s="1">
        <v>42583</v>
      </c>
      <c r="C364" t="s">
        <v>108</v>
      </c>
      <c r="E364" t="s">
        <v>527</v>
      </c>
      <c r="F364" t="s">
        <v>216</v>
      </c>
      <c r="G364" t="s">
        <v>615</v>
      </c>
      <c r="H364" t="s">
        <v>12</v>
      </c>
      <c r="J364" t="str">
        <f>IF(ISNUMBER(SEARCH("Episode",A364:A967)),A364:A967,"")</f>
        <v>Episode 261 - Predator 2 (Live)</v>
      </c>
      <c r="M364" t="str">
        <f t="shared" si="5"/>
        <v>Predator 2 (Live)</v>
      </c>
      <c r="N364" s="2" t="s">
        <v>1255</v>
      </c>
      <c r="O364" t="s">
        <v>1649</v>
      </c>
      <c r="P364">
        <f>VLOOKUP(J364,A363:K965,6,TRUE)</f>
        <v>0</v>
      </c>
    </row>
    <row r="365" spans="1:16" x14ac:dyDescent="0.25">
      <c r="A365" t="s">
        <v>616</v>
      </c>
      <c r="B365" s="1">
        <v>42597</v>
      </c>
      <c r="C365" t="s">
        <v>108</v>
      </c>
      <c r="E365" t="s">
        <v>527</v>
      </c>
      <c r="F365" t="s">
        <v>219</v>
      </c>
      <c r="G365" t="s">
        <v>617</v>
      </c>
      <c r="H365" t="s">
        <v>12</v>
      </c>
      <c r="J365" t="str">
        <f>IF(ISNUMBER(SEARCH("Episode",A365:A968)),A365:A968,"")</f>
        <v>Episode 262 - Jupiter Ascending (Live)</v>
      </c>
      <c r="M365" t="str">
        <f t="shared" si="5"/>
        <v>Jupiter Ascending (Live)</v>
      </c>
      <c r="N365" s="2" t="s">
        <v>1256</v>
      </c>
      <c r="O365" t="s">
        <v>1650</v>
      </c>
      <c r="P365" t="str">
        <f>VLOOKUP(J365,A364:K966,6,TRUE)</f>
        <v>Episode 48</v>
      </c>
    </row>
    <row r="366" spans="1:16" x14ac:dyDescent="0.25">
      <c r="A366" t="s">
        <v>618</v>
      </c>
      <c r="B366" s="1">
        <v>42609</v>
      </c>
      <c r="C366" t="s">
        <v>619</v>
      </c>
      <c r="E366" t="s">
        <v>527</v>
      </c>
      <c r="H366" t="s">
        <v>236</v>
      </c>
      <c r="J366" t="str">
        <f>IF(ISNUMBER(SEARCH("Episode",A366:A969)),A366:A969,"")</f>
        <v/>
      </c>
      <c r="M366" t="str">
        <f t="shared" si="5"/>
        <v/>
      </c>
      <c r="N366" s="2" t="s">
        <v>1257</v>
      </c>
      <c r="O366" t="s">
        <v>1651</v>
      </c>
      <c r="P366" t="e">
        <f>VLOOKUP(J366,A365:K967,6,TRUE)</f>
        <v>#N/A</v>
      </c>
    </row>
    <row r="367" spans="1:16" x14ac:dyDescent="0.25">
      <c r="A367" t="s">
        <v>620</v>
      </c>
      <c r="B367" s="1">
        <v>42610</v>
      </c>
      <c r="C367" t="s">
        <v>619</v>
      </c>
      <c r="E367" t="s">
        <v>527</v>
      </c>
      <c r="H367" t="s">
        <v>621</v>
      </c>
      <c r="J367" t="str">
        <f>IF(ISNUMBER(SEARCH("Episode",A367:A970)),A367:A970,"")</f>
        <v/>
      </c>
      <c r="M367" t="str">
        <f t="shared" si="5"/>
        <v/>
      </c>
      <c r="N367" s="2" t="s">
        <v>1258</v>
      </c>
      <c r="O367" t="s">
        <v>1652</v>
      </c>
      <c r="P367" t="e">
        <f>VLOOKUP(J367,A366:K968,6,TRUE)</f>
        <v>#N/A</v>
      </c>
    </row>
    <row r="368" spans="1:16" x14ac:dyDescent="0.25">
      <c r="A368" t="s">
        <v>622</v>
      </c>
      <c r="B368" s="1">
        <v>42611</v>
      </c>
      <c r="C368" t="s">
        <v>108</v>
      </c>
      <c r="E368" t="s">
        <v>527</v>
      </c>
      <c r="F368" t="s">
        <v>222</v>
      </c>
      <c r="G368" t="s">
        <v>623</v>
      </c>
      <c r="H368" t="s">
        <v>12</v>
      </c>
      <c r="J368" t="str">
        <f>IF(ISNUMBER(SEARCH("Episode",A368:A971)),A368:A971,"")</f>
        <v>Episode 263 - Teenage Mutant Ninja Turtles III (Live)</v>
      </c>
      <c r="M368" t="str">
        <f t="shared" si="5"/>
        <v>Teenage Mutant Ninja Turtles III (Live)</v>
      </c>
      <c r="N368" s="2" t="s">
        <v>1259</v>
      </c>
      <c r="O368" t="s">
        <v>1653</v>
      </c>
      <c r="P368" t="str">
        <f>VLOOKUP(J368,A367:K969,6,TRUE)</f>
        <v>Episode 49</v>
      </c>
    </row>
    <row r="369" spans="1:16" x14ac:dyDescent="0.25">
      <c r="A369" t="s">
        <v>624</v>
      </c>
      <c r="B369" s="1">
        <v>42616</v>
      </c>
      <c r="C369" t="s">
        <v>619</v>
      </c>
      <c r="E369" t="s">
        <v>625</v>
      </c>
      <c r="H369" t="s">
        <v>369</v>
      </c>
      <c r="J369" t="str">
        <f>IF(ISNUMBER(SEARCH("Episode",A369:A972)),A369:A972,"")</f>
        <v/>
      </c>
      <c r="M369" t="str">
        <f t="shared" si="5"/>
        <v/>
      </c>
      <c r="N369" s="2" t="s">
        <v>1260</v>
      </c>
      <c r="O369" t="s">
        <v>1654</v>
      </c>
      <c r="P369" t="e">
        <f>VLOOKUP(J369,A368:K970,6,TRUE)</f>
        <v>#N/A</v>
      </c>
    </row>
    <row r="370" spans="1:16" x14ac:dyDescent="0.25">
      <c r="A370" t="s">
        <v>626</v>
      </c>
      <c r="B370" s="1">
        <v>42618</v>
      </c>
      <c r="C370" t="s">
        <v>108</v>
      </c>
      <c r="E370" t="s">
        <v>625</v>
      </c>
      <c r="F370" t="s">
        <v>11</v>
      </c>
      <c r="H370" t="s">
        <v>12</v>
      </c>
      <c r="J370" t="str">
        <f>IF(ISNUMBER(SEARCH("Episode",A370:A973)),A370:A973,"")</f>
        <v>Episode 264 - The Amazing Spider-Man 2</v>
      </c>
      <c r="M370" t="str">
        <f t="shared" si="5"/>
        <v>The Amazing Spider-Man 2</v>
      </c>
      <c r="N370" s="2" t="s">
        <v>1261</v>
      </c>
      <c r="O370" t="s">
        <v>1655</v>
      </c>
      <c r="P370" t="str">
        <f>VLOOKUP(J370,A369:K971,6,TRUE)</f>
        <v>Episode 1</v>
      </c>
    </row>
    <row r="371" spans="1:16" x14ac:dyDescent="0.25">
      <c r="A371" t="s">
        <v>627</v>
      </c>
      <c r="B371" s="1">
        <v>42625</v>
      </c>
      <c r="C371" t="s">
        <v>108</v>
      </c>
      <c r="E371" t="s">
        <v>625</v>
      </c>
      <c r="F371" t="s">
        <v>16</v>
      </c>
      <c r="H371" t="s">
        <v>12</v>
      </c>
      <c r="J371" t="str">
        <f>IF(ISNUMBER(SEARCH("Episode",A371:A974)),A371:A974,"")</f>
        <v>Episode 265 - The Substitute 2: School's Out</v>
      </c>
      <c r="M371" t="str">
        <f t="shared" si="5"/>
        <v>The Substitute 2: School's Out</v>
      </c>
      <c r="N371" s="2" t="s">
        <v>1262</v>
      </c>
      <c r="O371" t="s">
        <v>1656</v>
      </c>
      <c r="P371">
        <f>VLOOKUP(J371,A370:K972,6,TRUE)</f>
        <v>0</v>
      </c>
    </row>
    <row r="372" spans="1:16" x14ac:dyDescent="0.25">
      <c r="A372" t="s">
        <v>628</v>
      </c>
      <c r="B372" s="1">
        <v>42632</v>
      </c>
      <c r="C372" t="s">
        <v>108</v>
      </c>
      <c r="E372" t="s">
        <v>625</v>
      </c>
      <c r="F372" t="s">
        <v>19</v>
      </c>
      <c r="H372" t="s">
        <v>12</v>
      </c>
      <c r="J372" t="str">
        <f>IF(ISNUMBER(SEARCH("Episode",A372:A975)),A372:A975,"")</f>
        <v>Episode 266 - Anaconda</v>
      </c>
      <c r="M372" t="str">
        <f t="shared" si="5"/>
        <v>Anaconda</v>
      </c>
      <c r="N372" s="2" t="s">
        <v>1263</v>
      </c>
      <c r="O372" t="s">
        <v>1657</v>
      </c>
      <c r="P372">
        <f>VLOOKUP(J372,A371:K973,6,TRUE)</f>
        <v>0</v>
      </c>
    </row>
    <row r="373" spans="1:16" x14ac:dyDescent="0.25">
      <c r="A373" t="s">
        <v>629</v>
      </c>
      <c r="B373" s="1">
        <v>42633</v>
      </c>
      <c r="C373" t="s">
        <v>619</v>
      </c>
      <c r="E373" t="s">
        <v>625</v>
      </c>
      <c r="H373" t="s">
        <v>62</v>
      </c>
      <c r="J373" t="str">
        <f>IF(ISNUMBER(SEARCH("Episode",A373:A976)),A373:A976,"")</f>
        <v/>
      </c>
      <c r="M373" t="str">
        <f t="shared" si="5"/>
        <v/>
      </c>
      <c r="N373" s="2" t="s">
        <v>1264</v>
      </c>
      <c r="O373" t="s">
        <v>1658</v>
      </c>
      <c r="P373" t="e">
        <f>VLOOKUP(J373,A372:K974,6,TRUE)</f>
        <v>#N/A</v>
      </c>
    </row>
    <row r="374" spans="1:16" x14ac:dyDescent="0.25">
      <c r="A374" t="s">
        <v>630</v>
      </c>
      <c r="B374" s="1">
        <v>42639</v>
      </c>
      <c r="C374" t="s">
        <v>108</v>
      </c>
      <c r="E374" t="s">
        <v>625</v>
      </c>
      <c r="F374" t="s">
        <v>22</v>
      </c>
      <c r="H374" t="s">
        <v>12</v>
      </c>
      <c r="J374" t="str">
        <f>IF(ISNUMBER(SEARCH("Episode",A374:A977)),A374:A977,"")</f>
        <v>Episode 267 - Hollow Man</v>
      </c>
      <c r="M374" t="str">
        <f t="shared" si="5"/>
        <v>Hollow Man</v>
      </c>
      <c r="N374" s="2" t="s">
        <v>1265</v>
      </c>
      <c r="O374" t="s">
        <v>1659</v>
      </c>
      <c r="P374" t="str">
        <f>VLOOKUP(J374,A373:K975,6,TRUE)</f>
        <v>Episode 4</v>
      </c>
    </row>
    <row r="375" spans="1:16" x14ac:dyDescent="0.25">
      <c r="A375" t="s">
        <v>631</v>
      </c>
      <c r="B375" s="1">
        <v>42641</v>
      </c>
      <c r="C375" t="s">
        <v>108</v>
      </c>
      <c r="E375" t="s">
        <v>625</v>
      </c>
      <c r="H375" t="s">
        <v>241</v>
      </c>
      <c r="J375" t="str">
        <f>IF(ISNUMBER(SEARCH("Episode",A375:A978)),A375:A978,"")</f>
        <v/>
      </c>
      <c r="M375" t="str">
        <f t="shared" si="5"/>
        <v/>
      </c>
      <c r="N375" s="2" t="s">
        <v>1266</v>
      </c>
      <c r="O375" t="s">
        <v>1660</v>
      </c>
      <c r="P375" t="e">
        <f>VLOOKUP(J375,A374:K976,6,TRUE)</f>
        <v>#N/A</v>
      </c>
    </row>
    <row r="376" spans="1:16" x14ac:dyDescent="0.25">
      <c r="A376" t="s">
        <v>632</v>
      </c>
      <c r="B376" s="1">
        <v>42646</v>
      </c>
      <c r="C376" t="s">
        <v>108</v>
      </c>
      <c r="E376" t="s">
        <v>625</v>
      </c>
      <c r="F376" t="s">
        <v>25</v>
      </c>
      <c r="G376" t="s">
        <v>633</v>
      </c>
      <c r="H376" t="s">
        <v>12</v>
      </c>
      <c r="J376" t="str">
        <f>IF(ISNUMBER(SEARCH("Episode",A376:A979)),A376:A979,"")</f>
        <v>Episode 268 - Pet Sematary II</v>
      </c>
      <c r="M376" t="str">
        <f t="shared" si="5"/>
        <v>Pet Sematary II</v>
      </c>
      <c r="N376" s="2" t="s">
        <v>1267</v>
      </c>
      <c r="O376" t="s">
        <v>1684</v>
      </c>
      <c r="P376" t="str">
        <f>VLOOKUP(J376,A375:K977,6,TRUE)</f>
        <v>Episode 5</v>
      </c>
    </row>
    <row r="377" spans="1:16" x14ac:dyDescent="0.25">
      <c r="A377" t="s">
        <v>634</v>
      </c>
      <c r="B377" s="1">
        <v>42653</v>
      </c>
      <c r="C377" t="s">
        <v>108</v>
      </c>
      <c r="E377" t="s">
        <v>625</v>
      </c>
      <c r="F377" t="s">
        <v>28</v>
      </c>
      <c r="G377" t="s">
        <v>633</v>
      </c>
      <c r="H377" t="s">
        <v>12</v>
      </c>
      <c r="J377" t="str">
        <f>IF(ISNUMBER(SEARCH("Episode",A377:A980)),A377:A980,"")</f>
        <v>Episode 269 - Halloween: The Curse of Michael Myers</v>
      </c>
      <c r="M377" t="str">
        <f t="shared" si="5"/>
        <v>Halloween: The Curse of Michael Myers</v>
      </c>
      <c r="N377" s="2" t="s">
        <v>1268</v>
      </c>
      <c r="O377" t="s">
        <v>1661</v>
      </c>
      <c r="P377" t="str">
        <f>VLOOKUP(J377,A376:K978,6,TRUE)</f>
        <v>Episode 6</v>
      </c>
    </row>
    <row r="378" spans="1:16" x14ac:dyDescent="0.25">
      <c r="A378" t="s">
        <v>635</v>
      </c>
      <c r="B378" s="1">
        <v>42657</v>
      </c>
      <c r="C378" t="s">
        <v>619</v>
      </c>
      <c r="E378" t="s">
        <v>625</v>
      </c>
      <c r="H378" t="s">
        <v>621</v>
      </c>
      <c r="J378" t="str">
        <f>IF(ISNUMBER(SEARCH("Episode",A378:A981)),A378:A981,"")</f>
        <v/>
      </c>
      <c r="M378" t="str">
        <f t="shared" si="5"/>
        <v/>
      </c>
      <c r="N378" s="2" t="s">
        <v>1269</v>
      </c>
      <c r="O378" t="s">
        <v>1662</v>
      </c>
      <c r="P378" t="e">
        <f>VLOOKUP(J378,A377:K979,6,TRUE)</f>
        <v>#N/A</v>
      </c>
    </row>
    <row r="379" spans="1:16" x14ac:dyDescent="0.25">
      <c r="A379" t="s">
        <v>636</v>
      </c>
      <c r="B379" s="1">
        <v>42660</v>
      </c>
      <c r="C379" t="s">
        <v>108</v>
      </c>
      <c r="E379" t="s">
        <v>625</v>
      </c>
      <c r="F379" t="s">
        <v>31</v>
      </c>
      <c r="G379" t="s">
        <v>633</v>
      </c>
      <c r="H379" t="s">
        <v>12</v>
      </c>
      <c r="J379" t="str">
        <f>IF(ISNUMBER(SEARCH("Episode",A379:A982)),A379:A982,"")</f>
        <v>Episode 270 - Ernest Scared Stupid</v>
      </c>
      <c r="M379" t="str">
        <f t="shared" si="5"/>
        <v>Ernest Scared Stupid</v>
      </c>
      <c r="N379" s="2" t="s">
        <v>1270</v>
      </c>
      <c r="O379" t="s">
        <v>1663</v>
      </c>
      <c r="P379">
        <f>VLOOKUP(J379,A378:K980,6,TRUE)</f>
        <v>0</v>
      </c>
    </row>
    <row r="380" spans="1:16" x14ac:dyDescent="0.25">
      <c r="A380" t="s">
        <v>637</v>
      </c>
      <c r="B380" s="1">
        <v>42667</v>
      </c>
      <c r="C380" t="s">
        <v>619</v>
      </c>
      <c r="E380" t="s">
        <v>625</v>
      </c>
      <c r="G380" t="s">
        <v>633</v>
      </c>
      <c r="H380" t="s">
        <v>369</v>
      </c>
      <c r="J380" t="str">
        <f>IF(ISNUMBER(SEARCH("Episode",A380:A983)),A380:A983,"")</f>
        <v/>
      </c>
      <c r="M380" t="str">
        <f t="shared" si="5"/>
        <v/>
      </c>
      <c r="N380" s="2" t="s">
        <v>1271</v>
      </c>
      <c r="O380" t="s">
        <v>1664</v>
      </c>
      <c r="P380" t="e">
        <f>VLOOKUP(J380,A379:K981,6,TRUE)</f>
        <v>#N/A</v>
      </c>
    </row>
    <row r="381" spans="1:16" x14ac:dyDescent="0.25">
      <c r="A381" t="s">
        <v>638</v>
      </c>
      <c r="B381" s="1">
        <v>42667</v>
      </c>
      <c r="C381" t="s">
        <v>108</v>
      </c>
      <c r="E381" t="s">
        <v>625</v>
      </c>
      <c r="F381" t="s">
        <v>37</v>
      </c>
      <c r="G381" t="s">
        <v>633</v>
      </c>
      <c r="H381" t="s">
        <v>12</v>
      </c>
      <c r="J381" t="str">
        <f>IF(ISNUMBER(SEARCH("Episode",A381:A984)),A381:A984,"")</f>
        <v>Episode 271 - Texas Chainsaw Massacre: The Next Generation</v>
      </c>
      <c r="M381" t="str">
        <f t="shared" si="5"/>
        <v>Texas Chainsaw Massacre: The Next Generation</v>
      </c>
      <c r="N381" s="2" t="s">
        <v>1272</v>
      </c>
      <c r="O381" t="s">
        <v>1665</v>
      </c>
      <c r="P381" t="str">
        <f>VLOOKUP(J381,A380:K982,6,TRUE)</f>
        <v>Episode 8</v>
      </c>
    </row>
    <row r="382" spans="1:16" x14ac:dyDescent="0.25">
      <c r="A382" t="s">
        <v>639</v>
      </c>
      <c r="B382" s="1">
        <v>42668</v>
      </c>
      <c r="C382" t="s">
        <v>108</v>
      </c>
      <c r="E382" t="s">
        <v>625</v>
      </c>
      <c r="H382" t="s">
        <v>241</v>
      </c>
      <c r="J382" t="str">
        <f>IF(ISNUMBER(SEARCH("Episode",A382:A985)),A382:A985,"")</f>
        <v/>
      </c>
      <c r="M382" t="str">
        <f t="shared" si="5"/>
        <v/>
      </c>
      <c r="N382" s="2" t="s">
        <v>1273</v>
      </c>
      <c r="O382" t="s">
        <v>1666</v>
      </c>
      <c r="P382" t="e">
        <f>VLOOKUP(J382,A381:K983,6,TRUE)</f>
        <v>#N/A</v>
      </c>
    </row>
    <row r="383" spans="1:16" x14ac:dyDescent="0.25">
      <c r="A383" t="s">
        <v>640</v>
      </c>
      <c r="B383" s="1">
        <v>42670</v>
      </c>
      <c r="C383" t="s">
        <v>108</v>
      </c>
      <c r="E383" t="s">
        <v>625</v>
      </c>
      <c r="G383" t="s">
        <v>633</v>
      </c>
      <c r="H383" t="s">
        <v>34</v>
      </c>
      <c r="J383" t="str">
        <f>IF(ISNUMBER(SEARCH("Episode",A383:A986)),A383:A986,"")</f>
        <v/>
      </c>
      <c r="M383" t="str">
        <f t="shared" si="5"/>
        <v/>
      </c>
      <c r="N383" s="2" t="s">
        <v>1274</v>
      </c>
      <c r="O383" t="s">
        <v>1667</v>
      </c>
      <c r="P383" t="e">
        <f>VLOOKUP(J383,A382:K984,6,TRUE)</f>
        <v>#N/A</v>
      </c>
    </row>
    <row r="384" spans="1:16" x14ac:dyDescent="0.25">
      <c r="A384" t="s">
        <v>641</v>
      </c>
      <c r="B384" s="1">
        <v>42674</v>
      </c>
      <c r="C384" t="s">
        <v>108</v>
      </c>
      <c r="E384" t="s">
        <v>625</v>
      </c>
      <c r="F384" t="s">
        <v>40</v>
      </c>
      <c r="G384" t="s">
        <v>633</v>
      </c>
      <c r="H384" t="s">
        <v>12</v>
      </c>
      <c r="J384" t="str">
        <f>IF(ISNUMBER(SEARCH("Episode",A384:A987)),A384:A987,"")</f>
        <v>Episode 272 - Ghosts Can't Do It</v>
      </c>
      <c r="M384" t="str">
        <f t="shared" si="5"/>
        <v>Ghosts Can't Do It</v>
      </c>
      <c r="N384" s="2" t="s">
        <v>1275</v>
      </c>
      <c r="O384" t="s">
        <v>1668</v>
      </c>
      <c r="P384" t="str">
        <f>VLOOKUP(J384,A383:K985,6,TRUE)</f>
        <v>Episode 9</v>
      </c>
    </row>
    <row r="385" spans="1:16" x14ac:dyDescent="0.25">
      <c r="A385" t="s">
        <v>642</v>
      </c>
      <c r="B385" s="1">
        <v>42675</v>
      </c>
      <c r="C385" t="s">
        <v>619</v>
      </c>
      <c r="E385" t="s">
        <v>625</v>
      </c>
      <c r="H385" t="s">
        <v>369</v>
      </c>
      <c r="J385" t="str">
        <f>IF(ISNUMBER(SEARCH("Episode",A385:A988)),A385:A988,"")</f>
        <v/>
      </c>
      <c r="M385" t="str">
        <f t="shared" si="5"/>
        <v/>
      </c>
      <c r="N385" s="2" t="s">
        <v>1276</v>
      </c>
      <c r="O385" t="s">
        <v>1669</v>
      </c>
      <c r="P385" t="e">
        <f>VLOOKUP(J385,A384:K986,6,TRUE)</f>
        <v>#N/A</v>
      </c>
    </row>
    <row r="386" spans="1:16" x14ac:dyDescent="0.25">
      <c r="A386" t="s">
        <v>643</v>
      </c>
      <c r="B386" s="1">
        <v>42681</v>
      </c>
      <c r="C386" t="s">
        <v>108</v>
      </c>
      <c r="E386" t="s">
        <v>625</v>
      </c>
      <c r="F386" t="s">
        <v>43</v>
      </c>
      <c r="H386" t="s">
        <v>12</v>
      </c>
      <c r="J386" t="str">
        <f>IF(ISNUMBER(SEARCH("Episode",A386:A989)),A386:A989,"")</f>
        <v>Episode 273 - Don't Tell Her It's Me</v>
      </c>
      <c r="M386" t="str">
        <f t="shared" si="5"/>
        <v>Don't Tell Her It's Me</v>
      </c>
      <c r="N386" s="2" t="s">
        <v>1277</v>
      </c>
      <c r="O386" t="s">
        <v>1670</v>
      </c>
      <c r="P386" t="str">
        <f>VLOOKUP(J386,A385:K987,6,TRUE)</f>
        <v>Episode 10</v>
      </c>
    </row>
    <row r="387" spans="1:16" x14ac:dyDescent="0.25">
      <c r="A387" t="s">
        <v>644</v>
      </c>
      <c r="B387" s="1">
        <v>42684</v>
      </c>
      <c r="C387" t="s">
        <v>108</v>
      </c>
      <c r="E387" t="s">
        <v>625</v>
      </c>
      <c r="H387" t="s">
        <v>34</v>
      </c>
      <c r="J387" t="str">
        <f>IF(ISNUMBER(SEARCH("Episode",A387:A990)),A387:A990,"")</f>
        <v/>
      </c>
      <c r="M387" t="str">
        <f t="shared" ref="M387:M450" si="6">REPLACE(J387,1,14,"")</f>
        <v/>
      </c>
      <c r="N387" s="2" t="s">
        <v>1278</v>
      </c>
      <c r="O387" t="s">
        <v>1671</v>
      </c>
      <c r="P387" t="e">
        <f>VLOOKUP(J387,A386:K988,6,TRUE)</f>
        <v>#N/A</v>
      </c>
    </row>
    <row r="388" spans="1:16" x14ac:dyDescent="0.25">
      <c r="A388" t="s">
        <v>645</v>
      </c>
      <c r="B388" s="1">
        <v>42688</v>
      </c>
      <c r="C388" t="s">
        <v>108</v>
      </c>
      <c r="E388" t="s">
        <v>625</v>
      </c>
      <c r="F388" t="s">
        <v>46</v>
      </c>
      <c r="H388" t="s">
        <v>12</v>
      </c>
      <c r="J388" t="str">
        <f>IF(ISNUMBER(SEARCH("Episode",A388:A991)),A388:A991,"")</f>
        <v>Episode 274 - Fantastic Four (2005)</v>
      </c>
      <c r="M388" t="str">
        <f t="shared" si="6"/>
        <v>Fantastic Four (2005)</v>
      </c>
      <c r="N388" s="2" t="s">
        <v>1279</v>
      </c>
      <c r="O388" t="s">
        <v>1672</v>
      </c>
      <c r="P388">
        <f>VLOOKUP(J388,A387:K989,6,TRUE)</f>
        <v>0</v>
      </c>
    </row>
    <row r="389" spans="1:16" x14ac:dyDescent="0.25">
      <c r="A389" t="s">
        <v>646</v>
      </c>
      <c r="B389" s="1">
        <v>42692</v>
      </c>
      <c r="C389" t="s">
        <v>619</v>
      </c>
      <c r="E389" t="s">
        <v>625</v>
      </c>
      <c r="H389" t="s">
        <v>621</v>
      </c>
      <c r="J389" t="str">
        <f>IF(ISNUMBER(SEARCH("Episode",A389:A992)),A389:A992,"")</f>
        <v/>
      </c>
      <c r="M389" t="str">
        <f t="shared" si="6"/>
        <v/>
      </c>
      <c r="N389" s="2" t="s">
        <v>1280</v>
      </c>
      <c r="O389" t="s">
        <v>1673</v>
      </c>
      <c r="P389" t="e">
        <f>VLOOKUP(J389,A388:K990,6,TRUE)</f>
        <v>#N/A</v>
      </c>
    </row>
    <row r="390" spans="1:16" x14ac:dyDescent="0.25">
      <c r="A390" t="s">
        <v>647</v>
      </c>
      <c r="B390" s="1">
        <v>42695</v>
      </c>
      <c r="C390" t="s">
        <v>108</v>
      </c>
      <c r="E390" t="s">
        <v>625</v>
      </c>
      <c r="F390" t="s">
        <v>49</v>
      </c>
      <c r="H390" t="s">
        <v>12</v>
      </c>
      <c r="J390" t="str">
        <f>IF(ISNUMBER(SEARCH("Episode",A390:A993)),A390:A993,"")</f>
        <v>Episode 275 - The Happening</v>
      </c>
      <c r="M390" t="str">
        <f t="shared" si="6"/>
        <v>The Happening</v>
      </c>
      <c r="N390" s="2" t="s">
        <v>1281</v>
      </c>
      <c r="O390" t="s">
        <v>1674</v>
      </c>
      <c r="P390">
        <f>VLOOKUP(J390,A389:K991,6,TRUE)</f>
        <v>0</v>
      </c>
    </row>
    <row r="391" spans="1:16" x14ac:dyDescent="0.25">
      <c r="A391" t="s">
        <v>648</v>
      </c>
      <c r="B391" s="1">
        <v>42697</v>
      </c>
      <c r="C391" t="s">
        <v>108</v>
      </c>
      <c r="E391" t="s">
        <v>625</v>
      </c>
      <c r="F391" t="s">
        <v>52</v>
      </c>
      <c r="G391" t="s">
        <v>649</v>
      </c>
      <c r="H391" t="s">
        <v>12</v>
      </c>
      <c r="J391" t="str">
        <f>IF(ISNUMBER(SEARCH("Episode",A391:A994)),A391:A994,"")</f>
        <v>Episode 276 - Suburban Commando (Live)</v>
      </c>
      <c r="M391" t="str">
        <f t="shared" si="6"/>
        <v>Suburban Commando (Live)</v>
      </c>
      <c r="N391" s="2" t="s">
        <v>1282</v>
      </c>
      <c r="O391" t="s">
        <v>1675</v>
      </c>
      <c r="P391">
        <f>VLOOKUP(J391,A390:K992,6,TRUE)</f>
        <v>0</v>
      </c>
    </row>
    <row r="392" spans="1:16" x14ac:dyDescent="0.25">
      <c r="A392" t="s">
        <v>650</v>
      </c>
      <c r="B392" s="1">
        <v>42701</v>
      </c>
      <c r="C392" t="s">
        <v>108</v>
      </c>
      <c r="E392" t="s">
        <v>625</v>
      </c>
      <c r="H392" t="s">
        <v>241</v>
      </c>
      <c r="J392" t="str">
        <f>IF(ISNUMBER(SEARCH("Episode",A392:A995)),A392:A995,"")</f>
        <v/>
      </c>
      <c r="M392" t="str">
        <f t="shared" si="6"/>
        <v/>
      </c>
      <c r="N392" s="2" t="s">
        <v>1283</v>
      </c>
      <c r="O392" t="s">
        <v>1676</v>
      </c>
      <c r="P392" t="e">
        <f>VLOOKUP(J392,A391:K993,6,TRUE)</f>
        <v>#N/A</v>
      </c>
    </row>
    <row r="393" spans="1:16" x14ac:dyDescent="0.25">
      <c r="A393" t="s">
        <v>651</v>
      </c>
      <c r="B393" s="1">
        <v>42702</v>
      </c>
      <c r="C393" t="s">
        <v>108</v>
      </c>
      <c r="E393" t="s">
        <v>625</v>
      </c>
      <c r="F393" t="s">
        <v>56</v>
      </c>
      <c r="H393" t="s">
        <v>12</v>
      </c>
      <c r="J393" t="str">
        <f>IF(ISNUMBER(SEARCH("Episode",A393:A996)),A393:A996,"")</f>
        <v>Episode 277 - Surviving the Game</v>
      </c>
      <c r="M393" t="str">
        <f t="shared" si="6"/>
        <v>Surviving the Game</v>
      </c>
      <c r="N393" s="2" t="s">
        <v>1284</v>
      </c>
      <c r="O393" t="s">
        <v>1677</v>
      </c>
      <c r="P393">
        <f>VLOOKUP(J393,A392:K994,6,TRUE)</f>
        <v>0</v>
      </c>
    </row>
    <row r="394" spans="1:16" x14ac:dyDescent="0.25">
      <c r="A394" t="s">
        <v>652</v>
      </c>
      <c r="B394" s="1">
        <v>42709</v>
      </c>
      <c r="C394" t="s">
        <v>108</v>
      </c>
      <c r="E394" t="s">
        <v>625</v>
      </c>
      <c r="F394" t="s">
        <v>59</v>
      </c>
      <c r="H394" t="s">
        <v>12</v>
      </c>
      <c r="J394" t="str">
        <f>IF(ISNUMBER(SEARCH("Episode",A394:A997)),A394:A997,"")</f>
        <v>Episode 278 - End of Days</v>
      </c>
      <c r="M394" t="str">
        <f t="shared" si="6"/>
        <v>End of Days</v>
      </c>
      <c r="N394" s="2" t="s">
        <v>1285</v>
      </c>
      <c r="O394" t="s">
        <v>1678</v>
      </c>
      <c r="P394">
        <f>VLOOKUP(J394,A393:K995,6,TRUE)</f>
        <v>0</v>
      </c>
    </row>
    <row r="395" spans="1:16" x14ac:dyDescent="0.25">
      <c r="A395" t="s">
        <v>653</v>
      </c>
      <c r="B395" s="1">
        <v>42713</v>
      </c>
      <c r="C395" t="s">
        <v>619</v>
      </c>
      <c r="E395" t="s">
        <v>625</v>
      </c>
      <c r="H395" t="s">
        <v>369</v>
      </c>
      <c r="J395" t="str">
        <f>IF(ISNUMBER(SEARCH("Episode",A395:A998)),A395:A998,"")</f>
        <v/>
      </c>
      <c r="M395" t="str">
        <f t="shared" si="6"/>
        <v/>
      </c>
      <c r="N395" s="2" t="s">
        <v>1286</v>
      </c>
      <c r="O395" t="s">
        <v>1679</v>
      </c>
      <c r="P395" t="e">
        <f>VLOOKUP(J395,A394:K996,6,TRUE)</f>
        <v>#N/A</v>
      </c>
    </row>
    <row r="396" spans="1:16" x14ac:dyDescent="0.25">
      <c r="A396" t="s">
        <v>654</v>
      </c>
      <c r="B396" s="1">
        <v>42716</v>
      </c>
      <c r="C396" t="s">
        <v>108</v>
      </c>
      <c r="E396" t="s">
        <v>625</v>
      </c>
      <c r="F396" t="s">
        <v>65</v>
      </c>
      <c r="H396" t="s">
        <v>12</v>
      </c>
      <c r="J396" t="str">
        <f>IF(ISNUMBER(SEARCH("Episode",A396:A999)),A396:A999,"")</f>
        <v>Episode 279 - Demolition Man</v>
      </c>
      <c r="M396" t="str">
        <f t="shared" si="6"/>
        <v>Demolition Man</v>
      </c>
      <c r="N396" s="2" t="s">
        <v>1287</v>
      </c>
      <c r="O396" t="s">
        <v>1680</v>
      </c>
      <c r="P396">
        <f>VLOOKUP(J396,A395:K997,6,TRUE)</f>
        <v>0</v>
      </c>
    </row>
    <row r="397" spans="1:16" x14ac:dyDescent="0.25">
      <c r="A397" t="s">
        <v>655</v>
      </c>
      <c r="B397" s="1">
        <v>42723</v>
      </c>
      <c r="C397" t="s">
        <v>108</v>
      </c>
      <c r="E397" t="s">
        <v>625</v>
      </c>
      <c r="F397" t="s">
        <v>68</v>
      </c>
      <c r="H397" t="s">
        <v>12</v>
      </c>
      <c r="J397" t="str">
        <f>IF(ISNUMBER(SEARCH("Episode",A397:A1000)),A397:A1000,"")</f>
        <v>Episode 280 - The Santa Clause 3: The Escape Clause</v>
      </c>
      <c r="M397" t="str">
        <f t="shared" si="6"/>
        <v>The Santa Clause 3: The Escape Clause</v>
      </c>
      <c r="N397" s="2" t="s">
        <v>1288</v>
      </c>
      <c r="O397" t="s">
        <v>1681</v>
      </c>
      <c r="P397">
        <f>VLOOKUP(J397,A396:K998,6,TRUE)</f>
        <v>0</v>
      </c>
    </row>
    <row r="398" spans="1:16" x14ac:dyDescent="0.25">
      <c r="A398" t="s">
        <v>656</v>
      </c>
      <c r="B398" s="1">
        <v>42724</v>
      </c>
      <c r="C398" t="s">
        <v>619</v>
      </c>
      <c r="E398" t="s">
        <v>625</v>
      </c>
      <c r="H398" t="s">
        <v>621</v>
      </c>
      <c r="J398" t="str">
        <f>IF(ISNUMBER(SEARCH("Episode",A398:A1001)),A398:A1001,"")</f>
        <v/>
      </c>
      <c r="M398" t="str">
        <f t="shared" si="6"/>
        <v/>
      </c>
      <c r="N398" s="2" t="s">
        <v>1289</v>
      </c>
      <c r="O398" t="s">
        <v>1682</v>
      </c>
      <c r="P398" t="e">
        <f>VLOOKUP(J398,A397:K999,6,TRUE)</f>
        <v>#N/A</v>
      </c>
    </row>
    <row r="399" spans="1:16" x14ac:dyDescent="0.25">
      <c r="A399" t="s">
        <v>657</v>
      </c>
      <c r="B399" s="1">
        <v>42726</v>
      </c>
      <c r="C399" t="s">
        <v>108</v>
      </c>
      <c r="E399" t="s">
        <v>625</v>
      </c>
      <c r="H399" t="s">
        <v>34</v>
      </c>
      <c r="J399" t="str">
        <f>IF(ISNUMBER(SEARCH("Episode",A399:A1002)),A399:A1002,"")</f>
        <v/>
      </c>
      <c r="M399" t="str">
        <f t="shared" si="6"/>
        <v/>
      </c>
      <c r="P399" t="e">
        <f>VLOOKUP(J399,A398:K1000,6,TRUE)</f>
        <v>#N/A</v>
      </c>
    </row>
    <row r="400" spans="1:16" x14ac:dyDescent="0.25">
      <c r="A400" t="s">
        <v>658</v>
      </c>
      <c r="B400" s="1">
        <v>42730</v>
      </c>
      <c r="C400" t="s">
        <v>108</v>
      </c>
      <c r="E400" t="s">
        <v>625</v>
      </c>
      <c r="F400" t="s">
        <v>71</v>
      </c>
      <c r="G400" t="s">
        <v>649</v>
      </c>
      <c r="H400" t="s">
        <v>12</v>
      </c>
      <c r="J400" t="str">
        <f>IF(ISNUMBER(SEARCH("Episode",A400:A1003)),A400:A1003,"")</f>
        <v>Episode 281 - Batman &amp; Robin (Live)</v>
      </c>
      <c r="M400" t="str">
        <f t="shared" si="6"/>
        <v>Batman &amp; Robin (Live)</v>
      </c>
      <c r="P400">
        <f>VLOOKUP(J400,A399:K1001,6,TRUE)</f>
        <v>0</v>
      </c>
    </row>
    <row r="401" spans="1:16" x14ac:dyDescent="0.25">
      <c r="A401" t="s">
        <v>659</v>
      </c>
      <c r="B401" s="1">
        <v>42732</v>
      </c>
      <c r="C401" t="s">
        <v>108</v>
      </c>
      <c r="E401" t="s">
        <v>625</v>
      </c>
      <c r="H401" t="s">
        <v>241</v>
      </c>
      <c r="J401" t="str">
        <f>IF(ISNUMBER(SEARCH("Episode",A401:A1004)),A401:A1004,"")</f>
        <v/>
      </c>
      <c r="M401" t="str">
        <f t="shared" si="6"/>
        <v/>
      </c>
      <c r="P401" t="e">
        <f>VLOOKUP(J401,A400:K1002,6,TRUE)</f>
        <v>#N/A</v>
      </c>
    </row>
    <row r="402" spans="1:16" x14ac:dyDescent="0.25">
      <c r="A402" t="s">
        <v>660</v>
      </c>
      <c r="B402" s="1">
        <v>42737</v>
      </c>
      <c r="C402" t="s">
        <v>108</v>
      </c>
      <c r="E402" t="s">
        <v>625</v>
      </c>
      <c r="F402" t="s">
        <v>74</v>
      </c>
      <c r="G402" t="s">
        <v>661</v>
      </c>
      <c r="H402" t="s">
        <v>12</v>
      </c>
      <c r="J402" t="str">
        <f>IF(ISNUMBER(SEARCH("Episode",A402:A1005)),A402:A1005,"")</f>
        <v>Episode 282 - Collateral Beauty</v>
      </c>
      <c r="M402" t="str">
        <f t="shared" si="6"/>
        <v>Collateral Beauty</v>
      </c>
      <c r="P402" t="str">
        <f>VLOOKUP(J402,A401:K1003,6,TRUE)</f>
        <v>Episode 19</v>
      </c>
    </row>
    <row r="403" spans="1:16" x14ac:dyDescent="0.25">
      <c r="A403" t="s">
        <v>662</v>
      </c>
      <c r="B403" s="1">
        <v>42744</v>
      </c>
      <c r="C403" t="s">
        <v>108</v>
      </c>
      <c r="E403" t="s">
        <v>625</v>
      </c>
      <c r="F403" t="s">
        <v>79</v>
      </c>
      <c r="G403" t="s">
        <v>661</v>
      </c>
      <c r="H403" t="s">
        <v>12</v>
      </c>
      <c r="J403" t="str">
        <f>IF(ISNUMBER(SEARCH("Episode",A403:A1006)),A403:A1006,"")</f>
        <v>Episode 283 - Dirty Grandpa</v>
      </c>
      <c r="M403" t="str">
        <f t="shared" si="6"/>
        <v>Dirty Grandpa</v>
      </c>
      <c r="P403" t="str">
        <f>VLOOKUP(J403,A402:K1004,6,TRUE)</f>
        <v>Episode 20</v>
      </c>
    </row>
    <row r="404" spans="1:16" x14ac:dyDescent="0.25">
      <c r="A404" t="s">
        <v>663</v>
      </c>
      <c r="B404" s="1">
        <v>42750</v>
      </c>
      <c r="C404" t="s">
        <v>619</v>
      </c>
      <c r="E404" t="s">
        <v>625</v>
      </c>
      <c r="H404" t="s">
        <v>621</v>
      </c>
      <c r="J404" t="str">
        <f>IF(ISNUMBER(SEARCH("Episode",A404:A1007)),A404:A1007,"")</f>
        <v/>
      </c>
      <c r="M404" t="str">
        <f t="shared" si="6"/>
        <v/>
      </c>
      <c r="P404" t="e">
        <f>VLOOKUP(J404,A403:K1005,6,TRUE)</f>
        <v>#N/A</v>
      </c>
    </row>
    <row r="405" spans="1:16" x14ac:dyDescent="0.25">
      <c r="A405" t="s">
        <v>664</v>
      </c>
      <c r="B405" s="1">
        <v>42751</v>
      </c>
      <c r="C405" t="s">
        <v>108</v>
      </c>
      <c r="E405" t="s">
        <v>625</v>
      </c>
      <c r="F405" t="s">
        <v>85</v>
      </c>
      <c r="G405" t="s">
        <v>661</v>
      </c>
      <c r="H405" t="s">
        <v>12</v>
      </c>
      <c r="J405" t="str">
        <f>IF(ISNUMBER(SEARCH("Episode",A405:A1008)),A405:A1008,"")</f>
        <v>Episode 284 - Suicide Squad</v>
      </c>
      <c r="M405" t="str">
        <f t="shared" si="6"/>
        <v>Suicide Squad</v>
      </c>
      <c r="P405">
        <f>VLOOKUP(J405,A404:K1006,6,TRUE)</f>
        <v>0</v>
      </c>
    </row>
    <row r="406" spans="1:16" x14ac:dyDescent="0.25">
      <c r="A406" t="s">
        <v>665</v>
      </c>
      <c r="B406" s="1">
        <v>42758</v>
      </c>
      <c r="C406" t="s">
        <v>108</v>
      </c>
      <c r="E406" t="s">
        <v>625</v>
      </c>
      <c r="F406" t="s">
        <v>143</v>
      </c>
      <c r="G406" t="s">
        <v>661</v>
      </c>
      <c r="H406" t="s">
        <v>12</v>
      </c>
      <c r="J406" t="str">
        <f>IF(ISNUMBER(SEARCH("Episode",A406:A1009)),A406:A1009,"")</f>
        <v>Episode 285 - Gods of Egypt</v>
      </c>
      <c r="M406" t="str">
        <f t="shared" si="6"/>
        <v>Gods of Egypt</v>
      </c>
      <c r="P406">
        <f>VLOOKUP(J406,A405:K1007,6,TRUE)</f>
        <v>0</v>
      </c>
    </row>
    <row r="407" spans="1:16" x14ac:dyDescent="0.25">
      <c r="A407" t="s">
        <v>666</v>
      </c>
      <c r="B407" s="1">
        <v>42764</v>
      </c>
      <c r="C407" t="s">
        <v>619</v>
      </c>
      <c r="E407" t="s">
        <v>625</v>
      </c>
      <c r="H407" t="s">
        <v>369</v>
      </c>
      <c r="J407" t="str">
        <f>IF(ISNUMBER(SEARCH("Episode",A407:A1010)),A407:A1010,"")</f>
        <v/>
      </c>
      <c r="M407" t="str">
        <f t="shared" si="6"/>
        <v/>
      </c>
      <c r="P407" t="e">
        <f>VLOOKUP(J407,A406:K1008,6,TRUE)</f>
        <v>#N/A</v>
      </c>
    </row>
    <row r="408" spans="1:16" x14ac:dyDescent="0.25">
      <c r="A408" t="s">
        <v>667</v>
      </c>
      <c r="B408" s="1">
        <v>42765</v>
      </c>
      <c r="C408" t="s">
        <v>108</v>
      </c>
      <c r="E408" t="s">
        <v>625</v>
      </c>
      <c r="F408" t="s">
        <v>145</v>
      </c>
      <c r="G408" t="s">
        <v>661</v>
      </c>
      <c r="H408" t="s">
        <v>12</v>
      </c>
      <c r="J408" t="str">
        <f>IF(ISNUMBER(SEARCH("Episode",A408:A1011)),A408:A1011,"")</f>
        <v>Episode 286 - Independence Day: Resurgence</v>
      </c>
      <c r="M408" t="str">
        <f t="shared" si="6"/>
        <v>Independence Day: Resurgence</v>
      </c>
      <c r="P408">
        <f>VLOOKUP(J408,A407:K1009,6,TRUE)</f>
        <v>0</v>
      </c>
    </row>
    <row r="409" spans="1:16" x14ac:dyDescent="0.25">
      <c r="A409" t="s">
        <v>668</v>
      </c>
      <c r="B409" s="1">
        <v>42766</v>
      </c>
      <c r="C409" t="s">
        <v>108</v>
      </c>
      <c r="E409" t="s">
        <v>625</v>
      </c>
      <c r="H409" t="s">
        <v>241</v>
      </c>
      <c r="J409" t="str">
        <f>IF(ISNUMBER(SEARCH("Episode",A409:A1012)),A409:A1012,"")</f>
        <v/>
      </c>
      <c r="M409" t="str">
        <f t="shared" si="6"/>
        <v/>
      </c>
      <c r="P409" t="e">
        <f>VLOOKUP(J409,A408:K1010,6,TRUE)</f>
        <v>#N/A</v>
      </c>
    </row>
    <row r="410" spans="1:16" x14ac:dyDescent="0.25">
      <c r="A410" t="s">
        <v>669</v>
      </c>
      <c r="B410" s="1">
        <v>42772</v>
      </c>
      <c r="C410" t="s">
        <v>108</v>
      </c>
      <c r="E410" t="s">
        <v>625</v>
      </c>
      <c r="F410" t="s">
        <v>148</v>
      </c>
      <c r="H410" t="s">
        <v>12</v>
      </c>
      <c r="J410" t="str">
        <f>IF(ISNUMBER(SEARCH("Episode",A410:A1013)),A410:A1013,"")</f>
        <v>Episode 287 - Bee Movie</v>
      </c>
      <c r="M410" t="str">
        <f t="shared" si="6"/>
        <v>Bee Movie</v>
      </c>
      <c r="P410" t="str">
        <f>VLOOKUP(J410,A409:K1011,6,TRUE)</f>
        <v>Episode 24</v>
      </c>
    </row>
    <row r="411" spans="1:16" x14ac:dyDescent="0.25">
      <c r="A411" t="s">
        <v>670</v>
      </c>
      <c r="B411" s="1">
        <v>42778</v>
      </c>
      <c r="C411" t="s">
        <v>619</v>
      </c>
      <c r="E411" t="s">
        <v>625</v>
      </c>
      <c r="H411" t="s">
        <v>236</v>
      </c>
      <c r="J411" t="str">
        <f>IF(ISNUMBER(SEARCH("Episode",A411:A1014)),A411:A1014,"")</f>
        <v/>
      </c>
      <c r="M411" t="str">
        <f t="shared" si="6"/>
        <v/>
      </c>
      <c r="P411" t="e">
        <f>VLOOKUP(J411,A410:K1012,6,TRUE)</f>
        <v>#N/A</v>
      </c>
    </row>
    <row r="412" spans="1:16" x14ac:dyDescent="0.25">
      <c r="A412" t="s">
        <v>671</v>
      </c>
      <c r="B412" s="1">
        <v>42779</v>
      </c>
      <c r="C412" t="s">
        <v>108</v>
      </c>
      <c r="E412" t="s">
        <v>625</v>
      </c>
      <c r="F412" t="s">
        <v>151</v>
      </c>
      <c r="H412" t="s">
        <v>12</v>
      </c>
      <c r="J412" t="str">
        <f>IF(ISNUMBER(SEARCH("Episode",A412:A1015)),A412:A1015,"")</f>
        <v>Episode 288 - My Father the Hero</v>
      </c>
      <c r="M412" t="str">
        <f t="shared" si="6"/>
        <v>My Father the Hero</v>
      </c>
      <c r="P412" t="str">
        <f>VLOOKUP(J412,A411:K1013,6,TRUE)</f>
        <v>Episode 25</v>
      </c>
    </row>
    <row r="413" spans="1:16" x14ac:dyDescent="0.25">
      <c r="A413" t="s">
        <v>672</v>
      </c>
      <c r="B413" s="1">
        <v>42783</v>
      </c>
      <c r="C413" t="s">
        <v>619</v>
      </c>
      <c r="E413" t="s">
        <v>625</v>
      </c>
      <c r="H413" t="s">
        <v>369</v>
      </c>
      <c r="J413" t="str">
        <f>IF(ISNUMBER(SEARCH("Episode",A413:A1016)),A413:A1016,"")</f>
        <v/>
      </c>
      <c r="M413" t="str">
        <f t="shared" si="6"/>
        <v/>
      </c>
      <c r="P413" t="e">
        <f>VLOOKUP(J413,A412:K1014,6,TRUE)</f>
        <v>#N/A</v>
      </c>
    </row>
    <row r="414" spans="1:16" x14ac:dyDescent="0.25">
      <c r="A414" t="s">
        <v>673</v>
      </c>
      <c r="B414" s="1">
        <v>42786</v>
      </c>
      <c r="C414" t="s">
        <v>108</v>
      </c>
      <c r="E414" t="s">
        <v>625</v>
      </c>
      <c r="F414" t="s">
        <v>154</v>
      </c>
      <c r="H414" t="s">
        <v>12</v>
      </c>
      <c r="J414" t="str">
        <f>IF(ISNUMBER(SEARCH("Episode",A414:A1017)),A414:A1017,"")</f>
        <v>Episode 289 - Retroactive</v>
      </c>
      <c r="M414" t="str">
        <f t="shared" si="6"/>
        <v>Retroactive</v>
      </c>
      <c r="P414">
        <f>VLOOKUP(J414,A413:K1015,6,TRUE)</f>
        <v>0</v>
      </c>
    </row>
    <row r="415" spans="1:16" x14ac:dyDescent="0.25">
      <c r="A415" t="s">
        <v>674</v>
      </c>
      <c r="B415" s="1">
        <v>42786</v>
      </c>
      <c r="C415" t="s">
        <v>619</v>
      </c>
      <c r="E415" t="s">
        <v>625</v>
      </c>
      <c r="H415" t="s">
        <v>621</v>
      </c>
      <c r="J415" t="str">
        <f>IF(ISNUMBER(SEARCH("Episode",A415:A1018)),A415:A1018,"")</f>
        <v/>
      </c>
      <c r="M415" t="str">
        <f t="shared" si="6"/>
        <v/>
      </c>
      <c r="P415" t="e">
        <f>VLOOKUP(J415,A414:K1016,6,TRUE)</f>
        <v>#N/A</v>
      </c>
    </row>
    <row r="416" spans="1:16" x14ac:dyDescent="0.25">
      <c r="A416" t="s">
        <v>675</v>
      </c>
      <c r="B416" s="1">
        <v>42789</v>
      </c>
      <c r="C416" t="s">
        <v>108</v>
      </c>
      <c r="E416" t="s">
        <v>625</v>
      </c>
      <c r="H416" t="s">
        <v>34</v>
      </c>
      <c r="J416" t="str">
        <f>IF(ISNUMBER(SEARCH("Episode",A416:A1019)),A416:A1019,"")</f>
        <v/>
      </c>
      <c r="M416" t="str">
        <f t="shared" si="6"/>
        <v/>
      </c>
      <c r="P416" t="e">
        <f>VLOOKUP(J416,A415:K1017,6,TRUE)</f>
        <v>#N/A</v>
      </c>
    </row>
    <row r="417" spans="1:16" x14ac:dyDescent="0.25">
      <c r="A417" t="s">
        <v>676</v>
      </c>
      <c r="B417" s="1">
        <v>42793</v>
      </c>
      <c r="C417" t="s">
        <v>108</v>
      </c>
      <c r="E417" t="s">
        <v>625</v>
      </c>
      <c r="F417" t="s">
        <v>157</v>
      </c>
      <c r="H417" t="s">
        <v>12</v>
      </c>
      <c r="J417" t="str">
        <f>IF(ISNUMBER(SEARCH("Episode",A417:A1020)),A417:A1020,"")</f>
        <v>Episode 290 - Tango &amp; Cash</v>
      </c>
      <c r="M417" t="str">
        <f t="shared" si="6"/>
        <v>Tango &amp; Cash</v>
      </c>
      <c r="P417" t="str">
        <f>VLOOKUP(J417,A416:K1018,6,TRUE)</f>
        <v>Episode 27</v>
      </c>
    </row>
    <row r="418" spans="1:16" x14ac:dyDescent="0.25">
      <c r="A418" t="s">
        <v>677</v>
      </c>
      <c r="B418" s="1">
        <v>42800</v>
      </c>
      <c r="C418" t="s">
        <v>108</v>
      </c>
      <c r="E418" t="s">
        <v>625</v>
      </c>
      <c r="F418" t="s">
        <v>160</v>
      </c>
      <c r="G418" t="s">
        <v>678</v>
      </c>
      <c r="H418" t="s">
        <v>12</v>
      </c>
      <c r="J418" t="str">
        <f>IF(ISNUMBER(SEARCH("Episode",A418:A1021)),A418:A1021,"")</f>
        <v>Episode 291 - The Last Airbender</v>
      </c>
      <c r="M418" t="str">
        <f t="shared" si="6"/>
        <v>The Last Airbender</v>
      </c>
      <c r="P418">
        <f>VLOOKUP(J418,A417:K1019,6,TRUE)</f>
        <v>0</v>
      </c>
    </row>
    <row r="419" spans="1:16" x14ac:dyDescent="0.25">
      <c r="A419" t="s">
        <v>679</v>
      </c>
      <c r="B419" s="1">
        <v>42806</v>
      </c>
      <c r="C419" t="s">
        <v>108</v>
      </c>
      <c r="E419" t="s">
        <v>625</v>
      </c>
      <c r="H419" t="s">
        <v>241</v>
      </c>
      <c r="J419" t="str">
        <f>IF(ISNUMBER(SEARCH("Episode",A419:A1022)),A419:A1022,"")</f>
        <v/>
      </c>
      <c r="M419" t="str">
        <f t="shared" si="6"/>
        <v/>
      </c>
      <c r="P419" t="e">
        <f>VLOOKUP(J419,A418:K1020,6,TRUE)</f>
        <v>#N/A</v>
      </c>
    </row>
    <row r="420" spans="1:16" x14ac:dyDescent="0.25">
      <c r="A420" t="s">
        <v>680</v>
      </c>
      <c r="B420" s="1">
        <v>42807</v>
      </c>
      <c r="C420" t="s">
        <v>108</v>
      </c>
      <c r="E420" t="s">
        <v>625</v>
      </c>
      <c r="F420" t="s">
        <v>163</v>
      </c>
      <c r="G420" t="s">
        <v>678</v>
      </c>
      <c r="H420" t="s">
        <v>12</v>
      </c>
      <c r="J420" t="str">
        <f>IF(ISNUMBER(SEARCH("Episode",A420:A1023)),A420:A1023,"")</f>
        <v>Episode 292 - Highlander III: The Final Dimension</v>
      </c>
      <c r="M420" t="str">
        <f t="shared" si="6"/>
        <v>Highlander III: The Final Dimension</v>
      </c>
      <c r="P420">
        <f>VLOOKUP(J420,A419:K1021,6,TRUE)</f>
        <v>0</v>
      </c>
    </row>
    <row r="421" spans="1:16" x14ac:dyDescent="0.25">
      <c r="A421" t="s">
        <v>681</v>
      </c>
      <c r="B421" s="1">
        <v>42809</v>
      </c>
      <c r="C421" t="s">
        <v>619</v>
      </c>
      <c r="E421" t="s">
        <v>625</v>
      </c>
      <c r="G421" t="s">
        <v>678</v>
      </c>
      <c r="H421" t="s">
        <v>621</v>
      </c>
      <c r="J421" t="str">
        <f>IF(ISNUMBER(SEARCH("Episode",A421:A1024)),A421:A1024,"")</f>
        <v/>
      </c>
      <c r="M421" t="str">
        <f t="shared" si="6"/>
        <v/>
      </c>
      <c r="P421" t="e">
        <f>VLOOKUP(J421,A420:K1022,6,TRUE)</f>
        <v>#N/A</v>
      </c>
    </row>
    <row r="422" spans="1:16" x14ac:dyDescent="0.25">
      <c r="A422" t="s">
        <v>682</v>
      </c>
      <c r="B422" s="1">
        <v>42812</v>
      </c>
      <c r="C422" t="s">
        <v>619</v>
      </c>
      <c r="E422" t="s">
        <v>625</v>
      </c>
      <c r="H422" t="s">
        <v>369</v>
      </c>
      <c r="J422" t="str">
        <f>IF(ISNUMBER(SEARCH("Episode",A422:A1025)),A422:A1025,"")</f>
        <v/>
      </c>
      <c r="M422" t="str">
        <f t="shared" si="6"/>
        <v/>
      </c>
      <c r="P422" t="e">
        <f>VLOOKUP(J422,A421:K1023,6,TRUE)</f>
        <v>#N/A</v>
      </c>
    </row>
    <row r="423" spans="1:16" x14ac:dyDescent="0.25">
      <c r="A423" t="s">
        <v>683</v>
      </c>
      <c r="B423" s="1">
        <v>42814</v>
      </c>
      <c r="C423" t="s">
        <v>108</v>
      </c>
      <c r="E423" t="s">
        <v>625</v>
      </c>
      <c r="F423" t="s">
        <v>166</v>
      </c>
      <c r="G423" t="s">
        <v>678</v>
      </c>
      <c r="H423" t="s">
        <v>12</v>
      </c>
      <c r="J423" t="str">
        <f>IF(ISNUMBER(SEARCH("Episode",A423:A1026)),A423:A1026,"")</f>
        <v>Episode 293 - Ultraviolet</v>
      </c>
      <c r="M423" t="str">
        <f t="shared" si="6"/>
        <v>Ultraviolet</v>
      </c>
      <c r="P423" t="str">
        <f>VLOOKUP(J423,A422:K1024,6,TRUE)</f>
        <v>Episode 30</v>
      </c>
    </row>
    <row r="424" spans="1:16" x14ac:dyDescent="0.25">
      <c r="A424" t="s">
        <v>684</v>
      </c>
      <c r="B424" s="1">
        <v>42821</v>
      </c>
      <c r="C424" t="s">
        <v>108</v>
      </c>
      <c r="E424" t="s">
        <v>625</v>
      </c>
      <c r="F424" t="s">
        <v>169</v>
      </c>
      <c r="G424" t="s">
        <v>678</v>
      </c>
      <c r="H424" t="s">
        <v>12</v>
      </c>
      <c r="J424" t="str">
        <f>IF(ISNUMBER(SEARCH("Episode",A424:A1027)),A424:A1027,"")</f>
        <v>Episode 294 - Power Rangers (2017)</v>
      </c>
      <c r="M424" t="str">
        <f t="shared" si="6"/>
        <v>Power Rangers (2017)</v>
      </c>
      <c r="P424">
        <f>VLOOKUP(J424,A423:K1025,6,TRUE)</f>
        <v>0</v>
      </c>
    </row>
    <row r="425" spans="1:16" x14ac:dyDescent="0.25">
      <c r="A425" t="s">
        <v>685</v>
      </c>
      <c r="B425" s="1">
        <v>42828</v>
      </c>
      <c r="C425" t="s">
        <v>108</v>
      </c>
      <c r="E425" t="s">
        <v>625</v>
      </c>
      <c r="F425" t="s">
        <v>172</v>
      </c>
      <c r="G425" t="s">
        <v>678</v>
      </c>
      <c r="H425" t="s">
        <v>12</v>
      </c>
      <c r="J425" t="str">
        <f>IF(ISNUMBER(SEARCH("Episode",A425:A1028)),A425:A1028,"")</f>
        <v>Episode 295 - Overboard</v>
      </c>
      <c r="M425" t="str">
        <f t="shared" si="6"/>
        <v>Overboard</v>
      </c>
      <c r="P425" t="str">
        <f>VLOOKUP(J425,A424:K1026,6,TRUE)</f>
        <v>Episode 32</v>
      </c>
    </row>
    <row r="426" spans="1:16" x14ac:dyDescent="0.25">
      <c r="A426" t="s">
        <v>686</v>
      </c>
      <c r="B426" s="1">
        <v>42831</v>
      </c>
      <c r="C426" t="s">
        <v>619</v>
      </c>
      <c r="E426" t="s">
        <v>625</v>
      </c>
      <c r="H426" t="s">
        <v>621</v>
      </c>
      <c r="J426" t="str">
        <f>IF(ISNUMBER(SEARCH("Episode",A426:A1029)),A426:A1029,"")</f>
        <v/>
      </c>
      <c r="M426" t="str">
        <f t="shared" si="6"/>
        <v/>
      </c>
      <c r="P426" t="e">
        <f>VLOOKUP(J426,A425:K1027,6,TRUE)</f>
        <v>#N/A</v>
      </c>
    </row>
    <row r="427" spans="1:16" x14ac:dyDescent="0.25">
      <c r="A427" t="s">
        <v>687</v>
      </c>
      <c r="B427" s="1">
        <v>42835</v>
      </c>
      <c r="C427" t="s">
        <v>108</v>
      </c>
      <c r="E427" t="s">
        <v>625</v>
      </c>
      <c r="F427" t="s">
        <v>175</v>
      </c>
      <c r="H427" t="s">
        <v>12</v>
      </c>
      <c r="J427" t="str">
        <f>IF(ISNUMBER(SEARCH("Episode",A427:A1030)),A427:A1030,"")</f>
        <v>Episode 296 - Sidekicks</v>
      </c>
      <c r="M427" t="str">
        <f t="shared" si="6"/>
        <v>Sidekicks</v>
      </c>
      <c r="P427">
        <f>VLOOKUP(J427,A426:K1028,6,TRUE)</f>
        <v>0</v>
      </c>
    </row>
    <row r="428" spans="1:16" x14ac:dyDescent="0.25">
      <c r="A428" t="s">
        <v>688</v>
      </c>
      <c r="B428" s="1">
        <v>42842</v>
      </c>
      <c r="C428" t="s">
        <v>108</v>
      </c>
      <c r="E428" t="s">
        <v>625</v>
      </c>
      <c r="F428" t="s">
        <v>177</v>
      </c>
      <c r="G428" t="s">
        <v>689</v>
      </c>
      <c r="H428" t="s">
        <v>12</v>
      </c>
      <c r="J428" t="str">
        <f>IF(ISNUMBER(SEARCH("Episode",A428:A1031)),A428:A1031,"")</f>
        <v>Episode 297 - Howard The Duck (Live)</v>
      </c>
      <c r="M428" t="str">
        <f t="shared" si="6"/>
        <v>Howard The Duck (Live)</v>
      </c>
      <c r="P428">
        <f>VLOOKUP(J428,A427:K1029,6,TRUE)</f>
        <v>0</v>
      </c>
    </row>
    <row r="429" spans="1:16" x14ac:dyDescent="0.25">
      <c r="A429" t="s">
        <v>690</v>
      </c>
      <c r="B429" s="1">
        <v>42848</v>
      </c>
      <c r="C429" t="s">
        <v>619</v>
      </c>
      <c r="E429" t="s">
        <v>625</v>
      </c>
      <c r="H429" t="s">
        <v>369</v>
      </c>
      <c r="J429" t="str">
        <f>IF(ISNUMBER(SEARCH("Episode",A429:A1032)),A429:A1032,"")</f>
        <v/>
      </c>
      <c r="M429" t="str">
        <f t="shared" si="6"/>
        <v/>
      </c>
      <c r="P429" t="e">
        <f>VLOOKUP(J429,A428:K1030,6,TRUE)</f>
        <v>#N/A</v>
      </c>
    </row>
    <row r="430" spans="1:16" x14ac:dyDescent="0.25">
      <c r="A430" t="s">
        <v>691</v>
      </c>
      <c r="B430" s="1">
        <v>42849</v>
      </c>
      <c r="C430" t="s">
        <v>108</v>
      </c>
      <c r="E430" t="s">
        <v>625</v>
      </c>
      <c r="F430" t="s">
        <v>180</v>
      </c>
      <c r="H430" t="s">
        <v>12</v>
      </c>
      <c r="J430" t="str">
        <f>IF(ISNUMBER(SEARCH("Episode",A430:A1033)),A430:A1033,"")</f>
        <v>Episode 298 - Hot to Trot</v>
      </c>
      <c r="M430" t="str">
        <f t="shared" si="6"/>
        <v>Hot to Trot</v>
      </c>
      <c r="P430" t="str">
        <f>VLOOKUP(J430,A429:K1031,6,TRUE)</f>
        <v>Episode 35</v>
      </c>
    </row>
    <row r="431" spans="1:16" x14ac:dyDescent="0.25">
      <c r="A431" t="s">
        <v>692</v>
      </c>
      <c r="B431" s="1">
        <v>42854</v>
      </c>
      <c r="C431" t="s">
        <v>108</v>
      </c>
      <c r="E431" t="s">
        <v>625</v>
      </c>
      <c r="H431" t="s">
        <v>241</v>
      </c>
      <c r="J431" t="str">
        <f>IF(ISNUMBER(SEARCH("Episode",A431:A1034)),A431:A1034,"")</f>
        <v/>
      </c>
      <c r="M431" t="str">
        <f t="shared" si="6"/>
        <v/>
      </c>
      <c r="P431" t="e">
        <f>VLOOKUP(J431,A430:K1032,6,TRUE)</f>
        <v>#N/A</v>
      </c>
    </row>
    <row r="432" spans="1:16" x14ac:dyDescent="0.25">
      <c r="A432" t="s">
        <v>693</v>
      </c>
      <c r="B432" s="1">
        <v>42856</v>
      </c>
      <c r="C432" t="s">
        <v>108</v>
      </c>
      <c r="E432" t="s">
        <v>625</v>
      </c>
      <c r="F432" t="s">
        <v>183</v>
      </c>
      <c r="H432" t="s">
        <v>12</v>
      </c>
      <c r="J432" t="str">
        <f>IF(ISNUMBER(SEARCH("Episode",A432:A1035)),A432:A1035,"")</f>
        <v>Episode 299 - Death Wish 3</v>
      </c>
      <c r="M432" t="str">
        <f t="shared" si="6"/>
        <v>Death Wish 3</v>
      </c>
      <c r="P432">
        <f>VLOOKUP(J432,A431:K1033,6,TRUE)</f>
        <v>0</v>
      </c>
    </row>
    <row r="433" spans="1:16" x14ac:dyDescent="0.25">
      <c r="A433" t="s">
        <v>694</v>
      </c>
      <c r="B433" s="1">
        <v>42863</v>
      </c>
      <c r="C433" t="s">
        <v>108</v>
      </c>
      <c r="E433" t="s">
        <v>625</v>
      </c>
      <c r="F433" t="s">
        <v>186</v>
      </c>
      <c r="H433" t="s">
        <v>12</v>
      </c>
      <c r="J433" t="str">
        <f>IF(ISNUMBER(SEARCH("Episode",A433:A1036)),A433:A1036,"")</f>
        <v>Episode 300 - 300</v>
      </c>
      <c r="M433" t="str">
        <f t="shared" si="6"/>
        <v>300</v>
      </c>
      <c r="P433" t="str">
        <f>VLOOKUP(J433,A432:K1034,6,TRUE)</f>
        <v>Episode 37</v>
      </c>
    </row>
    <row r="434" spans="1:16" x14ac:dyDescent="0.25">
      <c r="A434" t="s">
        <v>695</v>
      </c>
      <c r="B434" s="1">
        <v>42870</v>
      </c>
      <c r="C434" t="s">
        <v>108</v>
      </c>
      <c r="E434" t="s">
        <v>625</v>
      </c>
      <c r="F434" t="s">
        <v>188</v>
      </c>
      <c r="H434" t="s">
        <v>12</v>
      </c>
      <c r="J434" t="str">
        <f>IF(ISNUMBER(SEARCH("Episode",A434:A1037)),A434:A1037,"")</f>
        <v>Episode 301 - AVP: Alien vs Predator</v>
      </c>
      <c r="M434" t="str">
        <f t="shared" si="6"/>
        <v>AVP: Alien vs Predator</v>
      </c>
      <c r="P434">
        <f>VLOOKUP(J434,A433:K1035,6,TRUE)</f>
        <v>0</v>
      </c>
    </row>
    <row r="435" spans="1:16" x14ac:dyDescent="0.25">
      <c r="A435" t="s">
        <v>696</v>
      </c>
      <c r="B435" s="1">
        <v>42874</v>
      </c>
      <c r="C435" t="s">
        <v>619</v>
      </c>
      <c r="E435" t="s">
        <v>625</v>
      </c>
      <c r="H435" t="s">
        <v>621</v>
      </c>
      <c r="J435" t="str">
        <f>IF(ISNUMBER(SEARCH("Episode",A435:A1038)),A435:A1038,"")</f>
        <v/>
      </c>
      <c r="M435" t="str">
        <f t="shared" si="6"/>
        <v/>
      </c>
      <c r="P435" t="e">
        <f>VLOOKUP(J435,A434:K1036,6,TRUE)</f>
        <v>#N/A</v>
      </c>
    </row>
    <row r="436" spans="1:16" x14ac:dyDescent="0.25">
      <c r="A436" t="s">
        <v>697</v>
      </c>
      <c r="B436" s="1">
        <v>42875</v>
      </c>
      <c r="C436" t="s">
        <v>619</v>
      </c>
      <c r="E436" t="s">
        <v>625</v>
      </c>
      <c r="H436" t="s">
        <v>369</v>
      </c>
      <c r="J436" t="str">
        <f>IF(ISNUMBER(SEARCH("Episode",A436:A1039)),A436:A1039,"")</f>
        <v/>
      </c>
      <c r="M436" t="str">
        <f t="shared" si="6"/>
        <v/>
      </c>
      <c r="P436" t="e">
        <f>VLOOKUP(J436,A435:K1037,6,TRUE)</f>
        <v>#N/A</v>
      </c>
    </row>
    <row r="437" spans="1:16" x14ac:dyDescent="0.25">
      <c r="A437" t="s">
        <v>698</v>
      </c>
      <c r="B437" s="1">
        <v>42877</v>
      </c>
      <c r="C437" t="s">
        <v>108</v>
      </c>
      <c r="E437" t="s">
        <v>625</v>
      </c>
      <c r="F437" t="s">
        <v>191</v>
      </c>
      <c r="H437" t="s">
        <v>12</v>
      </c>
      <c r="J437" t="str">
        <f>IF(ISNUMBER(SEARCH("Episode",A437:A1040)),A437:A1040,"")</f>
        <v>Episode 302 - Ninja III: The Domination</v>
      </c>
      <c r="M437" t="str">
        <f t="shared" si="6"/>
        <v>Ninja III: The Domination</v>
      </c>
      <c r="P437">
        <f>VLOOKUP(J437,A436:K1038,6,TRUE)</f>
        <v>0</v>
      </c>
    </row>
    <row r="438" spans="1:16" x14ac:dyDescent="0.25">
      <c r="A438" t="s">
        <v>699</v>
      </c>
      <c r="B438" s="1">
        <v>42884</v>
      </c>
      <c r="C438" t="s">
        <v>108</v>
      </c>
      <c r="E438" t="s">
        <v>625</v>
      </c>
      <c r="F438" t="s">
        <v>194</v>
      </c>
      <c r="H438" t="s">
        <v>12</v>
      </c>
      <c r="J438" t="str">
        <f>IF(ISNUMBER(SEARCH("Episode",A438:A1041)),A438:A1041,"")</f>
        <v>Episode 303 - Disclosure</v>
      </c>
      <c r="M438" t="str">
        <f t="shared" si="6"/>
        <v>Disclosure</v>
      </c>
      <c r="P438" t="str">
        <f>VLOOKUP(J438,A437:K1039,6,TRUE)</f>
        <v>Episode 40</v>
      </c>
    </row>
    <row r="439" spans="1:16" x14ac:dyDescent="0.25">
      <c r="A439" t="s">
        <v>700</v>
      </c>
      <c r="B439" s="1">
        <v>42885</v>
      </c>
      <c r="C439" t="s">
        <v>108</v>
      </c>
      <c r="E439" t="s">
        <v>625</v>
      </c>
      <c r="H439" t="s">
        <v>241</v>
      </c>
      <c r="J439" t="str">
        <f>IF(ISNUMBER(SEARCH("Episode",A439:A1042)),A439:A1042,"")</f>
        <v/>
      </c>
      <c r="M439" t="str">
        <f t="shared" si="6"/>
        <v/>
      </c>
      <c r="P439" t="e">
        <f>VLOOKUP(J439,A438:K1040,6,TRUE)</f>
        <v>#N/A</v>
      </c>
    </row>
    <row r="440" spans="1:16" x14ac:dyDescent="0.25">
      <c r="A440" t="s">
        <v>701</v>
      </c>
      <c r="B440" s="1">
        <v>42891</v>
      </c>
      <c r="C440" t="s">
        <v>108</v>
      </c>
      <c r="E440" t="s">
        <v>625</v>
      </c>
      <c r="F440" t="s">
        <v>198</v>
      </c>
      <c r="G440" t="s">
        <v>702</v>
      </c>
      <c r="H440" t="s">
        <v>12</v>
      </c>
      <c r="J440" t="str">
        <f>IF(ISNUMBER(SEARCH("Episode",A440:A1043)),A440:A1043,"")</f>
        <v>Episode 304 - Transformers (2007)</v>
      </c>
      <c r="M440" t="str">
        <f t="shared" si="6"/>
        <v>Transformers (2007)</v>
      </c>
      <c r="P440" t="str">
        <f>VLOOKUP(J440,A439:K1041,6,TRUE)</f>
        <v>Episode 41</v>
      </c>
    </row>
    <row r="441" spans="1:16" x14ac:dyDescent="0.25">
      <c r="A441" t="s">
        <v>703</v>
      </c>
      <c r="B441" s="1">
        <v>42895</v>
      </c>
      <c r="C441" t="s">
        <v>108</v>
      </c>
      <c r="E441" t="s">
        <v>625</v>
      </c>
      <c r="H441" t="s">
        <v>34</v>
      </c>
      <c r="J441" t="str">
        <f>IF(ISNUMBER(SEARCH("Episode",A441:A1044)),A441:A1044,"")</f>
        <v/>
      </c>
      <c r="M441" t="str">
        <f t="shared" si="6"/>
        <v/>
      </c>
      <c r="P441" t="e">
        <f>VLOOKUP(J441,A440:K1042,6,TRUE)</f>
        <v>#N/A</v>
      </c>
    </row>
    <row r="442" spans="1:16" x14ac:dyDescent="0.25">
      <c r="A442" t="s">
        <v>704</v>
      </c>
      <c r="B442" s="1">
        <v>42897</v>
      </c>
      <c r="C442" t="s">
        <v>619</v>
      </c>
      <c r="E442" t="s">
        <v>625</v>
      </c>
      <c r="H442" t="s">
        <v>236</v>
      </c>
      <c r="J442" t="str">
        <f>IF(ISNUMBER(SEARCH("Episode",A442:A1045)),A442:A1045,"")</f>
        <v/>
      </c>
      <c r="M442" t="str">
        <f t="shared" si="6"/>
        <v/>
      </c>
      <c r="P442" t="e">
        <f>VLOOKUP(J442,A441:K1043,6,TRUE)</f>
        <v>#N/A</v>
      </c>
    </row>
    <row r="443" spans="1:16" x14ac:dyDescent="0.25">
      <c r="A443" t="s">
        <v>705</v>
      </c>
      <c r="B443" s="1">
        <v>42898</v>
      </c>
      <c r="C443" t="s">
        <v>108</v>
      </c>
      <c r="E443" t="s">
        <v>625</v>
      </c>
      <c r="F443" t="s">
        <v>201</v>
      </c>
      <c r="G443" t="s">
        <v>702</v>
      </c>
      <c r="H443" t="s">
        <v>12</v>
      </c>
      <c r="J443" t="str">
        <f>IF(ISNUMBER(SEARCH("Episode",A443:A1046)),A443:A1046,"")</f>
        <v>Episode 305 - Transformers: Revenge of the Fallen</v>
      </c>
      <c r="M443" t="str">
        <f t="shared" si="6"/>
        <v>Transformers: Revenge of the Fallen</v>
      </c>
      <c r="P443">
        <f>VLOOKUP(J443,A442:K1044,6,TRUE)</f>
        <v>0</v>
      </c>
    </row>
    <row r="444" spans="1:16" x14ac:dyDescent="0.25">
      <c r="A444" t="s">
        <v>706</v>
      </c>
      <c r="B444" s="1">
        <v>42902</v>
      </c>
      <c r="C444" t="s">
        <v>619</v>
      </c>
      <c r="E444" t="s">
        <v>625</v>
      </c>
      <c r="H444" t="s">
        <v>369</v>
      </c>
      <c r="J444" t="str">
        <f>IF(ISNUMBER(SEARCH("Episode",A444:A1047)),A444:A1047,"")</f>
        <v/>
      </c>
      <c r="M444" t="str">
        <f t="shared" si="6"/>
        <v/>
      </c>
      <c r="P444" t="e">
        <f>VLOOKUP(J444,A443:K1045,6,TRUE)</f>
        <v>#N/A</v>
      </c>
    </row>
    <row r="445" spans="1:16" x14ac:dyDescent="0.25">
      <c r="A445" t="s">
        <v>707</v>
      </c>
      <c r="B445" s="1">
        <v>42902</v>
      </c>
      <c r="C445" t="s">
        <v>619</v>
      </c>
      <c r="E445" t="s">
        <v>625</v>
      </c>
      <c r="H445" t="s">
        <v>621</v>
      </c>
      <c r="J445" t="str">
        <f>IF(ISNUMBER(SEARCH("Episode",A445:A1048)),A445:A1048,"")</f>
        <v/>
      </c>
      <c r="M445" t="str">
        <f t="shared" si="6"/>
        <v/>
      </c>
      <c r="P445" t="e">
        <f>VLOOKUP(J445,A444:K1046,6,TRUE)</f>
        <v>#N/A</v>
      </c>
    </row>
    <row r="446" spans="1:16" x14ac:dyDescent="0.25">
      <c r="A446" t="s">
        <v>708</v>
      </c>
      <c r="B446" s="1">
        <v>42905</v>
      </c>
      <c r="C446" t="s">
        <v>108</v>
      </c>
      <c r="E446" t="s">
        <v>625</v>
      </c>
      <c r="F446" t="s">
        <v>204</v>
      </c>
      <c r="G446" t="s">
        <v>702</v>
      </c>
      <c r="H446" t="s">
        <v>12</v>
      </c>
      <c r="J446" t="str">
        <f>IF(ISNUMBER(SEARCH("Episode",A446:A1049)),A446:A1049,"")</f>
        <v>Episode 306 - Transformers: Dark of the Moon</v>
      </c>
      <c r="M446" t="str">
        <f t="shared" si="6"/>
        <v>Transformers: Dark of the Moon</v>
      </c>
      <c r="P446">
        <f>VLOOKUP(J446,A445:K1047,6,TRUE)</f>
        <v>0</v>
      </c>
    </row>
    <row r="447" spans="1:16" x14ac:dyDescent="0.25">
      <c r="A447" t="s">
        <v>709</v>
      </c>
      <c r="B447" s="1">
        <v>42907</v>
      </c>
      <c r="C447" t="s">
        <v>108</v>
      </c>
      <c r="E447" t="s">
        <v>625</v>
      </c>
      <c r="F447" t="s">
        <v>207</v>
      </c>
      <c r="G447" t="s">
        <v>710</v>
      </c>
      <c r="H447" t="s">
        <v>12</v>
      </c>
      <c r="J447" t="str">
        <f>IF(ISNUMBER(SEARCH("Episode",A447:A1050)),A447:A1050,"")</f>
        <v>Episode 307 - Friday the 13th: Part 7 - The New Blood (Live)</v>
      </c>
      <c r="M447" t="str">
        <f t="shared" si="6"/>
        <v>Friday the 13th: Part 7 - The New Blood (Live)</v>
      </c>
      <c r="P447">
        <f>VLOOKUP(J447,A446:K1048,6,TRUE)</f>
        <v>0</v>
      </c>
    </row>
    <row r="448" spans="1:16" x14ac:dyDescent="0.25">
      <c r="A448" t="s">
        <v>711</v>
      </c>
      <c r="B448" s="1">
        <v>42913</v>
      </c>
      <c r="C448" t="s">
        <v>108</v>
      </c>
      <c r="E448" t="s">
        <v>625</v>
      </c>
      <c r="F448" t="s">
        <v>210</v>
      </c>
      <c r="G448" t="s">
        <v>702</v>
      </c>
      <c r="H448" t="s">
        <v>12</v>
      </c>
      <c r="J448" t="str">
        <f>IF(ISNUMBER(SEARCH("Episode",A448:A1051)),A448:A1051,"")</f>
        <v>Episode 308 - Transformers: Age of Extinction</v>
      </c>
      <c r="M448" t="str">
        <f t="shared" si="6"/>
        <v>Transformers: Age of Extinction</v>
      </c>
      <c r="P448" t="str">
        <f>VLOOKUP(J448,A447:K1049,6,TRUE)</f>
        <v>Episode 45</v>
      </c>
    </row>
    <row r="449" spans="1:16" x14ac:dyDescent="0.25">
      <c r="A449" t="s">
        <v>712</v>
      </c>
      <c r="B449" s="1">
        <v>42916</v>
      </c>
      <c r="C449" t="s">
        <v>619</v>
      </c>
      <c r="E449" t="s">
        <v>625</v>
      </c>
      <c r="H449" t="s">
        <v>621</v>
      </c>
      <c r="J449" t="str">
        <f>IF(ISNUMBER(SEARCH("Episode",A449:A1052)),A449:A1052,"")</f>
        <v/>
      </c>
      <c r="M449" t="str">
        <f t="shared" si="6"/>
        <v/>
      </c>
      <c r="P449" t="e">
        <f>VLOOKUP(J449,A448:K1050,6,TRUE)</f>
        <v>#N/A</v>
      </c>
    </row>
    <row r="450" spans="1:16" x14ac:dyDescent="0.25">
      <c r="A450" t="s">
        <v>713</v>
      </c>
      <c r="B450" s="1">
        <v>42916</v>
      </c>
      <c r="C450" t="s">
        <v>108</v>
      </c>
      <c r="E450" t="s">
        <v>625</v>
      </c>
      <c r="H450" t="s">
        <v>241</v>
      </c>
      <c r="J450" t="str">
        <f>IF(ISNUMBER(SEARCH("Episode",A450:A1053)),A450:A1053,"")</f>
        <v/>
      </c>
      <c r="M450" t="str">
        <f t="shared" si="6"/>
        <v/>
      </c>
      <c r="P450" t="e">
        <f>VLOOKUP(J450,A449:K1051,6,TRUE)</f>
        <v>#N/A</v>
      </c>
    </row>
    <row r="451" spans="1:16" x14ac:dyDescent="0.25">
      <c r="A451" t="s">
        <v>714</v>
      </c>
      <c r="B451" s="1">
        <v>42919</v>
      </c>
      <c r="C451" t="s">
        <v>108</v>
      </c>
      <c r="E451" t="s">
        <v>625</v>
      </c>
      <c r="F451" t="s">
        <v>213</v>
      </c>
      <c r="G451" t="s">
        <v>702</v>
      </c>
      <c r="H451" t="s">
        <v>12</v>
      </c>
      <c r="J451" t="str">
        <f>IF(ISNUMBER(SEARCH("Episode",A451:A1054)),A451:A1054,"")</f>
        <v>Episode 309 - Encino Man</v>
      </c>
      <c r="M451" t="str">
        <f t="shared" ref="M451:M514" si="7">REPLACE(J451,1,14,"")</f>
        <v>Encino Man</v>
      </c>
      <c r="P451">
        <f>VLOOKUP(J451,A450:K1052,6,TRUE)</f>
        <v>0</v>
      </c>
    </row>
    <row r="452" spans="1:16" x14ac:dyDescent="0.25">
      <c r="A452" t="s">
        <v>715</v>
      </c>
      <c r="B452" s="1">
        <v>42926</v>
      </c>
      <c r="C452" t="s">
        <v>108</v>
      </c>
      <c r="E452" t="s">
        <v>625</v>
      </c>
      <c r="F452" t="s">
        <v>216</v>
      </c>
      <c r="G452" t="s">
        <v>702</v>
      </c>
      <c r="H452" t="s">
        <v>12</v>
      </c>
      <c r="J452" t="str">
        <f>IF(ISNUMBER(SEARCH("Episode",A452:A1055)),A452:A1055,"")</f>
        <v>Episode 310 - Transformers: The Last Knight</v>
      </c>
      <c r="M452" t="str">
        <f t="shared" si="7"/>
        <v>Transformers: The Last Knight</v>
      </c>
      <c r="P452" t="str">
        <f>VLOOKUP(J452,A451:K1053,6,TRUE)</f>
        <v>Episode 47</v>
      </c>
    </row>
    <row r="453" spans="1:16" x14ac:dyDescent="0.25">
      <c r="A453" t="s">
        <v>716</v>
      </c>
      <c r="B453" s="1">
        <v>42931</v>
      </c>
      <c r="C453" t="s">
        <v>619</v>
      </c>
      <c r="E453" t="s">
        <v>625</v>
      </c>
      <c r="H453" t="s">
        <v>369</v>
      </c>
      <c r="J453" t="str">
        <f>IF(ISNUMBER(SEARCH("Episode",A453:A1056)),A453:A1056,"")</f>
        <v/>
      </c>
      <c r="M453" t="str">
        <f t="shared" si="7"/>
        <v/>
      </c>
      <c r="P453" t="e">
        <f>VLOOKUP(J453,A452:K1054,6,TRUE)</f>
        <v>#N/A</v>
      </c>
    </row>
    <row r="454" spans="1:16" x14ac:dyDescent="0.25">
      <c r="A454" t="s">
        <v>717</v>
      </c>
      <c r="B454" s="1">
        <v>42933</v>
      </c>
      <c r="C454" t="s">
        <v>108</v>
      </c>
      <c r="E454" t="s">
        <v>625</v>
      </c>
      <c r="F454" t="s">
        <v>219</v>
      </c>
      <c r="G454" t="s">
        <v>702</v>
      </c>
      <c r="H454" t="s">
        <v>12</v>
      </c>
      <c r="J454" t="str">
        <f>IF(ISNUMBER(SEARCH("Episode",A454:A1057)),A454:A1057,"")</f>
        <v>Episode 311 - Air Force One</v>
      </c>
      <c r="M454" t="str">
        <f t="shared" si="7"/>
        <v>Air Force One</v>
      </c>
      <c r="P454">
        <f>VLOOKUP(J454,A453:K1055,6,TRUE)</f>
        <v>0</v>
      </c>
    </row>
    <row r="455" spans="1:16" x14ac:dyDescent="0.25">
      <c r="A455" t="s">
        <v>718</v>
      </c>
      <c r="B455" s="1">
        <v>42939</v>
      </c>
      <c r="C455" t="s">
        <v>108</v>
      </c>
      <c r="E455" t="s">
        <v>625</v>
      </c>
      <c r="H455" t="s">
        <v>241</v>
      </c>
      <c r="J455" t="str">
        <f>IF(ISNUMBER(SEARCH("Episode",A455:A1058)),A455:A1058,"")</f>
        <v/>
      </c>
      <c r="M455" t="str">
        <f t="shared" si="7"/>
        <v/>
      </c>
      <c r="P455" t="e">
        <f>VLOOKUP(J455,A454:K1056,6,TRUE)</f>
        <v>#N/A</v>
      </c>
    </row>
    <row r="456" spans="1:16" x14ac:dyDescent="0.25">
      <c r="A456" t="s">
        <v>719</v>
      </c>
      <c r="B456" s="1">
        <v>42940</v>
      </c>
      <c r="C456" t="s">
        <v>108</v>
      </c>
      <c r="E456" t="s">
        <v>625</v>
      </c>
      <c r="F456" t="s">
        <v>222</v>
      </c>
      <c r="G456" t="s">
        <v>702</v>
      </c>
      <c r="H456" t="s">
        <v>12</v>
      </c>
      <c r="J456" t="str">
        <f>IF(ISNUMBER(SEARCH("Episode",A456:A1059)),A456:A1059,"")</f>
        <v>Episode 312 - Spider-Man 3</v>
      </c>
      <c r="M456" t="str">
        <f t="shared" si="7"/>
        <v>Spider-Man 3</v>
      </c>
      <c r="P456" t="str">
        <f>VLOOKUP(J456,A455:K1057,6,TRUE)</f>
        <v>Episode 49</v>
      </c>
    </row>
    <row r="457" spans="1:16" x14ac:dyDescent="0.25">
      <c r="A457" t="s">
        <v>720</v>
      </c>
      <c r="B457" s="1">
        <v>42951</v>
      </c>
      <c r="C457" t="s">
        <v>108</v>
      </c>
      <c r="E457" t="s">
        <v>625</v>
      </c>
      <c r="H457" t="s">
        <v>34</v>
      </c>
      <c r="J457" t="str">
        <f>IF(ISNUMBER(SEARCH("Episode",A457:A1060)),A457:A1060,"")</f>
        <v/>
      </c>
      <c r="M457" t="str">
        <f t="shared" si="7"/>
        <v/>
      </c>
      <c r="P457" t="e">
        <f>VLOOKUP(J457,A456:K1058,6,TRUE)</f>
        <v>#N/A</v>
      </c>
    </row>
    <row r="458" spans="1:16" x14ac:dyDescent="0.25">
      <c r="A458" t="s">
        <v>721</v>
      </c>
      <c r="B458" s="1">
        <v>42958</v>
      </c>
      <c r="C458" t="s">
        <v>619</v>
      </c>
      <c r="E458" t="s">
        <v>625</v>
      </c>
      <c r="H458" t="s">
        <v>621</v>
      </c>
      <c r="J458" t="str">
        <f>IF(ISNUMBER(SEARCH("Episode",A458:A1061)),A458:A1061,"")</f>
        <v/>
      </c>
      <c r="M458" t="str">
        <f t="shared" si="7"/>
        <v/>
      </c>
      <c r="P458" t="e">
        <f>VLOOKUP(J458,A457:K1059,6,TRUE)</f>
        <v>#N/A</v>
      </c>
    </row>
    <row r="459" spans="1:16" x14ac:dyDescent="0.25">
      <c r="A459" t="s">
        <v>722</v>
      </c>
      <c r="B459" s="1">
        <v>42961</v>
      </c>
      <c r="C459" t="s">
        <v>108</v>
      </c>
      <c r="E459" t="s">
        <v>625</v>
      </c>
      <c r="F459" t="s">
        <v>225</v>
      </c>
      <c r="G459" t="s">
        <v>723</v>
      </c>
      <c r="H459" t="s">
        <v>12</v>
      </c>
      <c r="J459" t="str">
        <f>IF(ISNUMBER(SEARCH("Episode",A459:A1062)),A459:A1062,"")</f>
        <v>Episode 313 - Fantastic Four: Rise of the Silver Surfer (Live)</v>
      </c>
      <c r="M459" t="str">
        <f t="shared" si="7"/>
        <v>Fantastic Four: Rise of the Silver Surfer (Live)</v>
      </c>
      <c r="P459">
        <f>VLOOKUP(J459,A458:K1060,6,TRUE)</f>
        <v>0</v>
      </c>
    </row>
    <row r="460" spans="1:16" x14ac:dyDescent="0.25">
      <c r="A460" t="s">
        <v>724</v>
      </c>
      <c r="B460" s="1">
        <v>42969</v>
      </c>
      <c r="C460" t="s">
        <v>108</v>
      </c>
      <c r="E460" t="s">
        <v>625</v>
      </c>
      <c r="F460" t="s">
        <v>227</v>
      </c>
      <c r="G460" t="s">
        <v>723</v>
      </c>
      <c r="H460" t="s">
        <v>12</v>
      </c>
      <c r="J460" t="str">
        <f>IF(ISNUMBER(SEARCH("Episode",A460:A1063)),A460:A1063,"")</f>
        <v>Episode 314 - Over the Top (Live)</v>
      </c>
      <c r="M460" t="str">
        <f t="shared" si="7"/>
        <v>Over the Top (Live)</v>
      </c>
      <c r="P460">
        <f>VLOOKUP(J460,A459:K1061,6,TRUE)</f>
        <v>0</v>
      </c>
    </row>
    <row r="461" spans="1:16" x14ac:dyDescent="0.25">
      <c r="A461" t="s">
        <v>725</v>
      </c>
      <c r="B461" s="1">
        <v>42971</v>
      </c>
      <c r="C461" t="s">
        <v>619</v>
      </c>
      <c r="E461" t="s">
        <v>625</v>
      </c>
      <c r="H461" t="s">
        <v>369</v>
      </c>
      <c r="J461" t="str">
        <f>IF(ISNUMBER(SEARCH("Episode",A461:A1064)),A461:A1064,"")</f>
        <v/>
      </c>
      <c r="M461" t="str">
        <f t="shared" si="7"/>
        <v/>
      </c>
      <c r="P461" t="e">
        <f>VLOOKUP(J461,A460:K1062,6,TRUE)</f>
        <v>#N/A</v>
      </c>
    </row>
    <row r="462" spans="1:16" x14ac:dyDescent="0.25">
      <c r="A462" t="s">
        <v>726</v>
      </c>
      <c r="B462" s="1">
        <v>42977</v>
      </c>
      <c r="C462" t="s">
        <v>108</v>
      </c>
      <c r="E462" t="s">
        <v>625</v>
      </c>
      <c r="H462" t="s">
        <v>34</v>
      </c>
      <c r="J462" t="str">
        <f>IF(ISNUMBER(SEARCH("Episode",A462:A1065)),A462:A1065,"")</f>
        <v/>
      </c>
      <c r="M462" t="str">
        <f t="shared" si="7"/>
        <v/>
      </c>
      <c r="P462" t="e">
        <f>VLOOKUP(J462,A461:K1063,6,TRUE)</f>
        <v>#N/A</v>
      </c>
    </row>
    <row r="463" spans="1:16" x14ac:dyDescent="0.25">
      <c r="A463" t="s">
        <v>727</v>
      </c>
      <c r="B463" s="1">
        <v>42982</v>
      </c>
      <c r="C463" t="s">
        <v>108</v>
      </c>
      <c r="E463" t="s">
        <v>625</v>
      </c>
      <c r="F463" t="s">
        <v>231</v>
      </c>
      <c r="G463" t="s">
        <v>728</v>
      </c>
      <c r="H463" t="s">
        <v>12</v>
      </c>
      <c r="J463" t="str">
        <f>IF(ISNUMBER(SEARCH("Episode",A463:A1066)),A463:A1066,"")</f>
        <v>Episode 315 - Mac &amp; Me (Live)</v>
      </c>
      <c r="M463" t="str">
        <f t="shared" si="7"/>
        <v>Mac &amp; Me (Live)</v>
      </c>
      <c r="P463" t="str">
        <f>VLOOKUP(J463,A462:K1064,6,TRUE)</f>
        <v>Episode 52</v>
      </c>
    </row>
    <row r="464" spans="1:16" x14ac:dyDescent="0.25">
      <c r="A464" t="s">
        <v>729</v>
      </c>
      <c r="B464" s="1">
        <v>42990</v>
      </c>
      <c r="C464" t="s">
        <v>108</v>
      </c>
      <c r="E464" t="s">
        <v>730</v>
      </c>
      <c r="F464" t="s">
        <v>11</v>
      </c>
      <c r="H464" t="s">
        <v>12</v>
      </c>
      <c r="J464" t="str">
        <f>IF(ISNUMBER(SEARCH("Episode",A464:A1067)),A464:A1067,"")</f>
        <v>Episode 316 - IT (1990)</v>
      </c>
      <c r="M464" t="str">
        <f t="shared" si="7"/>
        <v>IT (1990)</v>
      </c>
      <c r="P464" t="str">
        <f>VLOOKUP(J464,A463:K1065,6,TRUE)</f>
        <v>Episode 1</v>
      </c>
    </row>
    <row r="465" spans="1:16" x14ac:dyDescent="0.25">
      <c r="A465" t="s">
        <v>731</v>
      </c>
      <c r="B465" s="1">
        <v>42992</v>
      </c>
      <c r="C465" t="s">
        <v>108</v>
      </c>
      <c r="E465" t="s">
        <v>730</v>
      </c>
      <c r="H465" t="s">
        <v>241</v>
      </c>
      <c r="J465" t="str">
        <f>IF(ISNUMBER(SEARCH("Episode",A465:A1068)),A465:A1068,"")</f>
        <v/>
      </c>
      <c r="M465" t="str">
        <f t="shared" si="7"/>
        <v/>
      </c>
      <c r="P465" t="e">
        <f>VLOOKUP(J465,A464:K1066,6,TRUE)</f>
        <v>#N/A</v>
      </c>
    </row>
    <row r="466" spans="1:16" x14ac:dyDescent="0.25">
      <c r="A466" t="s">
        <v>732</v>
      </c>
      <c r="B466" s="1">
        <v>42996</v>
      </c>
      <c r="C466" t="s">
        <v>108</v>
      </c>
      <c r="E466" t="s">
        <v>730</v>
      </c>
      <c r="F466" t="s">
        <v>16</v>
      </c>
      <c r="H466" t="s">
        <v>12</v>
      </c>
      <c r="J466" t="str">
        <f>IF(ISNUMBER(SEARCH("Episode",A466:A1069)),A466:A1069,"")</f>
        <v>Episode 317 - If Looks Could Kill</v>
      </c>
      <c r="M466" t="str">
        <f t="shared" si="7"/>
        <v>If Looks Could Kill</v>
      </c>
      <c r="P466">
        <f>VLOOKUP(J466,A465:K1067,6,TRUE)</f>
        <v>0</v>
      </c>
    </row>
    <row r="467" spans="1:16" x14ac:dyDescent="0.25">
      <c r="A467" t="s">
        <v>733</v>
      </c>
      <c r="B467" s="1">
        <v>43000</v>
      </c>
      <c r="C467" t="s">
        <v>619</v>
      </c>
      <c r="E467" t="s">
        <v>730</v>
      </c>
      <c r="H467" t="s">
        <v>369</v>
      </c>
      <c r="J467" t="str">
        <f>IF(ISNUMBER(SEARCH("Episode",A467:A1070)),A467:A1070,"")</f>
        <v/>
      </c>
      <c r="M467" t="str">
        <f t="shared" si="7"/>
        <v/>
      </c>
      <c r="P467" t="e">
        <f>VLOOKUP(J467,A466:K1068,6,TRUE)</f>
        <v>#N/A</v>
      </c>
    </row>
    <row r="468" spans="1:16" x14ac:dyDescent="0.25">
      <c r="A468" t="s">
        <v>734</v>
      </c>
      <c r="B468" s="1">
        <v>43003</v>
      </c>
      <c r="C468" t="s">
        <v>108</v>
      </c>
      <c r="E468" t="s">
        <v>730</v>
      </c>
      <c r="F468" t="s">
        <v>19</v>
      </c>
      <c r="H468" t="s">
        <v>12</v>
      </c>
      <c r="J468" t="str">
        <f>IF(ISNUMBER(SEARCH("Episode",A468:A1071)),A468:A1071,"")</f>
        <v>Episode 318 - Samurai Cop</v>
      </c>
      <c r="M468" t="str">
        <f t="shared" si="7"/>
        <v>Samurai Cop</v>
      </c>
      <c r="P468" t="str">
        <f>VLOOKUP(J468,A467:K1069,6,TRUE)</f>
        <v>Episode 3</v>
      </c>
    </row>
    <row r="469" spans="1:16" x14ac:dyDescent="0.25">
      <c r="A469" t="s">
        <v>735</v>
      </c>
      <c r="B469" s="1">
        <v>43005</v>
      </c>
      <c r="C469" t="s">
        <v>619</v>
      </c>
      <c r="E469" t="s">
        <v>730</v>
      </c>
      <c r="H469" t="s">
        <v>236</v>
      </c>
      <c r="J469" t="str">
        <f>IF(ISNUMBER(SEARCH("Episode",A469:A1072)),A469:A1072,"")</f>
        <v/>
      </c>
      <c r="M469" t="str">
        <f t="shared" si="7"/>
        <v/>
      </c>
      <c r="P469" t="e">
        <f>VLOOKUP(J469,A468:K1070,6,TRUE)</f>
        <v>#N/A</v>
      </c>
    </row>
    <row r="470" spans="1:16" x14ac:dyDescent="0.25">
      <c r="A470" t="s">
        <v>736</v>
      </c>
      <c r="B470" s="1">
        <v>43007</v>
      </c>
      <c r="C470" t="s">
        <v>619</v>
      </c>
      <c r="E470" t="s">
        <v>730</v>
      </c>
      <c r="H470" t="s">
        <v>621</v>
      </c>
      <c r="J470" t="str">
        <f>IF(ISNUMBER(SEARCH("Episode",A470:A1073)),A470:A1073,"")</f>
        <v/>
      </c>
      <c r="M470" t="str">
        <f t="shared" si="7"/>
        <v/>
      </c>
      <c r="P470" t="e">
        <f>VLOOKUP(J470,A469:K1071,6,TRUE)</f>
        <v>#N/A</v>
      </c>
    </row>
    <row r="471" spans="1:16" x14ac:dyDescent="0.25">
      <c r="A471" t="s">
        <v>737</v>
      </c>
      <c r="B471" s="1">
        <v>43010</v>
      </c>
      <c r="C471" t="s">
        <v>108</v>
      </c>
      <c r="E471" t="s">
        <v>730</v>
      </c>
      <c r="F471" t="s">
        <v>22</v>
      </c>
      <c r="G471" t="s">
        <v>738</v>
      </c>
      <c r="H471" t="s">
        <v>12</v>
      </c>
      <c r="J471" t="str">
        <f>IF(ISNUMBER(SEARCH("Episode",A471:A1074)),A471:A1074,"")</f>
        <v>Episode 319 - Freddy's Dead: The Final Nightmare</v>
      </c>
      <c r="M471" t="str">
        <f t="shared" si="7"/>
        <v>Freddy's Dead: The Final Nightmare</v>
      </c>
      <c r="P471" t="str">
        <f>VLOOKUP(J471,A470:K1072,6,TRUE)</f>
        <v>Episode 4</v>
      </c>
    </row>
    <row r="472" spans="1:16" x14ac:dyDescent="0.25">
      <c r="A472" t="s">
        <v>739</v>
      </c>
      <c r="B472" s="1">
        <v>43017</v>
      </c>
      <c r="C472" t="s">
        <v>108</v>
      </c>
      <c r="E472" t="s">
        <v>730</v>
      </c>
      <c r="F472" t="s">
        <v>25</v>
      </c>
      <c r="G472" t="s">
        <v>738</v>
      </c>
      <c r="H472" t="s">
        <v>12</v>
      </c>
      <c r="J472" t="str">
        <f>IF(ISNUMBER(SEARCH("Episode",A472:A1075)),A472:A1075,"")</f>
        <v>Episode 320 - Dr. Giggles</v>
      </c>
      <c r="M472" t="str">
        <f t="shared" si="7"/>
        <v>Dr. Giggles</v>
      </c>
      <c r="P472">
        <f>VLOOKUP(J472,A471:K1073,6,TRUE)</f>
        <v>0</v>
      </c>
    </row>
    <row r="473" spans="1:16" x14ac:dyDescent="0.25">
      <c r="A473" t="s">
        <v>740</v>
      </c>
      <c r="B473" s="1">
        <v>43024</v>
      </c>
      <c r="C473" t="s">
        <v>108</v>
      </c>
      <c r="E473" t="s">
        <v>730</v>
      </c>
      <c r="F473" t="s">
        <v>28</v>
      </c>
      <c r="G473" t="s">
        <v>738</v>
      </c>
      <c r="H473" t="s">
        <v>12</v>
      </c>
      <c r="J473" t="str">
        <f>IF(ISNUMBER(SEARCH("Episode",A473:A1076)),A473:A1076,"")</f>
        <v>Episode 321 - Scream 2</v>
      </c>
      <c r="M473" t="str">
        <f t="shared" si="7"/>
        <v>Scream 2</v>
      </c>
      <c r="P473">
        <f>VLOOKUP(J473,A472:K1074,6,TRUE)</f>
        <v>0</v>
      </c>
    </row>
    <row r="474" spans="1:16" x14ac:dyDescent="0.25">
      <c r="A474" t="s">
        <v>741</v>
      </c>
      <c r="B474" s="1">
        <v>43026</v>
      </c>
      <c r="C474" t="s">
        <v>619</v>
      </c>
      <c r="E474" t="s">
        <v>730</v>
      </c>
      <c r="G474" t="s">
        <v>738</v>
      </c>
      <c r="H474" t="s">
        <v>369</v>
      </c>
      <c r="J474" t="str">
        <f>IF(ISNUMBER(SEARCH("Episode",A474:A1077)),A474:A1077,"")</f>
        <v/>
      </c>
      <c r="M474" t="str">
        <f t="shared" si="7"/>
        <v/>
      </c>
      <c r="P474" t="e">
        <f>VLOOKUP(J474,A473:K1075,6,TRUE)</f>
        <v>#N/A</v>
      </c>
    </row>
    <row r="475" spans="1:16" x14ac:dyDescent="0.25">
      <c r="A475" t="s">
        <v>742</v>
      </c>
      <c r="B475" s="1">
        <v>43031</v>
      </c>
      <c r="C475" t="s">
        <v>108</v>
      </c>
      <c r="E475" t="s">
        <v>730</v>
      </c>
      <c r="F475" t="s">
        <v>31</v>
      </c>
      <c r="G475" t="s">
        <v>738</v>
      </c>
      <c r="H475" t="s">
        <v>12</v>
      </c>
      <c r="J475" t="str">
        <f>IF(ISNUMBER(SEARCH("Episode",A475:A1078)),A475:A1078,"")</f>
        <v>Episode 322 - Saw</v>
      </c>
      <c r="M475" t="str">
        <f t="shared" si="7"/>
        <v>Saw</v>
      </c>
      <c r="P475" t="str">
        <f>VLOOKUP(J475,A474:K1076,6,TRUE)</f>
        <v>Episode 7</v>
      </c>
    </row>
    <row r="476" spans="1:16" x14ac:dyDescent="0.25">
      <c r="A476" t="s">
        <v>743</v>
      </c>
      <c r="B476" s="1">
        <v>43034</v>
      </c>
      <c r="C476" t="s">
        <v>619</v>
      </c>
      <c r="E476" t="s">
        <v>730</v>
      </c>
      <c r="H476" t="s">
        <v>621</v>
      </c>
      <c r="J476" t="str">
        <f>IF(ISNUMBER(SEARCH("Episode",A476:A1079)),A476:A1079,"")</f>
        <v/>
      </c>
      <c r="M476" t="str">
        <f t="shared" si="7"/>
        <v/>
      </c>
      <c r="P476" t="e">
        <f>VLOOKUP(J476,A475:K1077,6,TRUE)</f>
        <v>#N/A</v>
      </c>
    </row>
    <row r="477" spans="1:16" x14ac:dyDescent="0.25">
      <c r="A477" t="s">
        <v>744</v>
      </c>
      <c r="B477" s="1">
        <v>43037</v>
      </c>
      <c r="C477" t="s">
        <v>108</v>
      </c>
      <c r="E477" t="s">
        <v>730</v>
      </c>
      <c r="G477" t="s">
        <v>738</v>
      </c>
      <c r="H477" t="s">
        <v>34</v>
      </c>
      <c r="J477" t="str">
        <f>IF(ISNUMBER(SEARCH("Episode",A477:A1080)),A477:A1080,"")</f>
        <v/>
      </c>
      <c r="M477" t="str">
        <f t="shared" si="7"/>
        <v/>
      </c>
      <c r="P477" t="e">
        <f>VLOOKUP(J477,A476:K1078,6,TRUE)</f>
        <v>#N/A</v>
      </c>
    </row>
    <row r="478" spans="1:16" x14ac:dyDescent="0.25">
      <c r="A478" t="s">
        <v>745</v>
      </c>
      <c r="B478" s="1">
        <v>43038</v>
      </c>
      <c r="C478" t="s">
        <v>108</v>
      </c>
      <c r="E478" t="s">
        <v>730</v>
      </c>
      <c r="F478" t="s">
        <v>37</v>
      </c>
      <c r="G478" t="s">
        <v>738</v>
      </c>
      <c r="H478" t="s">
        <v>12</v>
      </c>
      <c r="J478" t="str">
        <f>IF(ISNUMBER(SEARCH("Episode",A478:A1081)),A478:A1081,"")</f>
        <v>Episode 323 - Trick or Treat</v>
      </c>
      <c r="M478" t="str">
        <f t="shared" si="7"/>
        <v>Trick or Treat</v>
      </c>
      <c r="P478" t="str">
        <f>VLOOKUP(J478,A477:K1079,6,TRUE)</f>
        <v>Episode 8</v>
      </c>
    </row>
    <row r="479" spans="1:16" x14ac:dyDescent="0.25">
      <c r="A479" t="s">
        <v>746</v>
      </c>
      <c r="B479" s="1">
        <v>43038</v>
      </c>
      <c r="C479" t="s">
        <v>108</v>
      </c>
      <c r="E479" t="s">
        <v>730</v>
      </c>
      <c r="H479" t="s">
        <v>241</v>
      </c>
      <c r="J479" t="str">
        <f>IF(ISNUMBER(SEARCH("Episode",A479:A1082)),A479:A1082,"")</f>
        <v/>
      </c>
      <c r="M479" t="str">
        <f t="shared" si="7"/>
        <v/>
      </c>
      <c r="P479" t="e">
        <f>VLOOKUP(J479,A478:K1080,6,TRUE)</f>
        <v>#N/A</v>
      </c>
    </row>
    <row r="480" spans="1:16" x14ac:dyDescent="0.25">
      <c r="A480" t="s">
        <v>747</v>
      </c>
      <c r="B480" s="1">
        <v>43045</v>
      </c>
      <c r="C480" t="s">
        <v>108</v>
      </c>
      <c r="E480" t="s">
        <v>730</v>
      </c>
      <c r="F480" t="s">
        <v>40</v>
      </c>
      <c r="G480" t="s">
        <v>748</v>
      </c>
      <c r="H480" t="s">
        <v>12</v>
      </c>
      <c r="J480" t="str">
        <f>IF(ISNUMBER(SEARCH("Episode",A480:A1083)),A480:A1083,"")</f>
        <v>Episode 324 - Rising Sun</v>
      </c>
      <c r="M480" t="str">
        <f t="shared" si="7"/>
        <v>Rising Sun</v>
      </c>
      <c r="P480" t="str">
        <f>VLOOKUP(J480,A479:K1081,6,TRUE)</f>
        <v>Episode 9</v>
      </c>
    </row>
    <row r="481" spans="1:16" x14ac:dyDescent="0.25">
      <c r="A481" t="s">
        <v>749</v>
      </c>
      <c r="B481" s="1">
        <v>43049</v>
      </c>
      <c r="C481" t="s">
        <v>619</v>
      </c>
      <c r="E481" t="s">
        <v>730</v>
      </c>
      <c r="H481" t="s">
        <v>369</v>
      </c>
      <c r="J481" t="str">
        <f>IF(ISNUMBER(SEARCH("Episode",A481:A1084)),A481:A1084,"")</f>
        <v/>
      </c>
      <c r="M481" t="str">
        <f t="shared" si="7"/>
        <v/>
      </c>
      <c r="P481" t="e">
        <f>VLOOKUP(J481,A480:K1082,6,TRUE)</f>
        <v>#N/A</v>
      </c>
    </row>
    <row r="482" spans="1:16" x14ac:dyDescent="0.25">
      <c r="A482" t="s">
        <v>750</v>
      </c>
      <c r="B482" s="1">
        <v>43052</v>
      </c>
      <c r="C482" t="s">
        <v>108</v>
      </c>
      <c r="E482" t="s">
        <v>730</v>
      </c>
      <c r="F482" t="s">
        <v>43</v>
      </c>
      <c r="G482" t="s">
        <v>748</v>
      </c>
      <c r="H482" t="s">
        <v>12</v>
      </c>
      <c r="J482" t="str">
        <f>IF(ISNUMBER(SEARCH("Episode",A482:A1085)),A482:A1085,"")</f>
        <v>Episode 325 - The Fan</v>
      </c>
      <c r="M482" t="str">
        <f t="shared" si="7"/>
        <v>The Fan</v>
      </c>
      <c r="P482">
        <f>VLOOKUP(J482,A481:K1083,6,TRUE)</f>
        <v>0</v>
      </c>
    </row>
    <row r="483" spans="1:16" x14ac:dyDescent="0.25">
      <c r="A483" t="s">
        <v>751</v>
      </c>
      <c r="B483" s="1">
        <v>43059</v>
      </c>
      <c r="C483" t="s">
        <v>108</v>
      </c>
      <c r="E483" t="s">
        <v>730</v>
      </c>
      <c r="F483" t="s">
        <v>46</v>
      </c>
      <c r="G483" t="s">
        <v>748</v>
      </c>
      <c r="H483" t="s">
        <v>12</v>
      </c>
      <c r="J483" t="str">
        <f>IF(ISNUMBER(SEARCH("Episode",A483:A1086)),A483:A1086,"")</f>
        <v>Episode 326 - Murder at 1600</v>
      </c>
      <c r="M483" t="str">
        <f t="shared" si="7"/>
        <v>Murder at 1600</v>
      </c>
      <c r="P483" t="str">
        <f>VLOOKUP(J483,A482:K1084,6,TRUE)</f>
        <v>Episode 11</v>
      </c>
    </row>
    <row r="484" spans="1:16" x14ac:dyDescent="0.25">
      <c r="A484" t="s">
        <v>752</v>
      </c>
      <c r="B484" s="1">
        <v>43063</v>
      </c>
      <c r="C484" t="s">
        <v>619</v>
      </c>
      <c r="E484" t="s">
        <v>730</v>
      </c>
      <c r="H484" t="s">
        <v>621</v>
      </c>
      <c r="J484" t="str">
        <f>IF(ISNUMBER(SEARCH("Episode",A484:A1087)),A484:A1087,"")</f>
        <v/>
      </c>
      <c r="M484" t="str">
        <f t="shared" si="7"/>
        <v/>
      </c>
      <c r="P484" t="e">
        <f>VLOOKUP(J484,A483:K1085,6,TRUE)</f>
        <v>#N/A</v>
      </c>
    </row>
    <row r="485" spans="1:16" x14ac:dyDescent="0.25">
      <c r="A485" t="s">
        <v>753</v>
      </c>
      <c r="B485" s="1">
        <v>43066</v>
      </c>
      <c r="C485" t="s">
        <v>108</v>
      </c>
      <c r="E485" t="s">
        <v>730</v>
      </c>
      <c r="F485" t="s">
        <v>49</v>
      </c>
      <c r="G485" t="s">
        <v>748</v>
      </c>
      <c r="H485" t="s">
        <v>12</v>
      </c>
      <c r="J485" t="str">
        <f>IF(ISNUMBER(SEARCH("Episode",A485:A1088)),A485:A1088,"")</f>
        <v>Episode 327 - Drop Zone</v>
      </c>
      <c r="M485" t="str">
        <f t="shared" si="7"/>
        <v>Drop Zone</v>
      </c>
      <c r="P485">
        <f>VLOOKUP(J485,A484:K1086,6,TRUE)</f>
        <v>0</v>
      </c>
    </row>
    <row r="486" spans="1:16" x14ac:dyDescent="0.25">
      <c r="A486" t="s">
        <v>754</v>
      </c>
      <c r="B486" s="1">
        <v>43068</v>
      </c>
      <c r="C486" t="s">
        <v>108</v>
      </c>
      <c r="E486" t="s">
        <v>730</v>
      </c>
      <c r="H486" t="s">
        <v>34</v>
      </c>
      <c r="J486" t="str">
        <f>IF(ISNUMBER(SEARCH("Episode",A486:A1089)),A486:A1089,"")</f>
        <v/>
      </c>
      <c r="M486" t="str">
        <f t="shared" si="7"/>
        <v/>
      </c>
      <c r="P486" t="e">
        <f>VLOOKUP(J486,A485:K1087,6,TRUE)</f>
        <v>#N/A</v>
      </c>
    </row>
    <row r="487" spans="1:16" x14ac:dyDescent="0.25">
      <c r="A487" t="s">
        <v>755</v>
      </c>
      <c r="B487" s="1">
        <v>43069</v>
      </c>
      <c r="C487" t="s">
        <v>108</v>
      </c>
      <c r="E487" t="s">
        <v>730</v>
      </c>
      <c r="H487" t="s">
        <v>241</v>
      </c>
      <c r="J487" t="str">
        <f>IF(ISNUMBER(SEARCH("Episode",A487:A1090)),A487:A1090,"")</f>
        <v/>
      </c>
      <c r="M487" t="str">
        <f t="shared" si="7"/>
        <v/>
      </c>
      <c r="P487" t="e">
        <f>VLOOKUP(J487,A486:K1088,6,TRUE)</f>
        <v>#N/A</v>
      </c>
    </row>
    <row r="488" spans="1:16" x14ac:dyDescent="0.25">
      <c r="A488" t="s">
        <v>756</v>
      </c>
      <c r="B488" s="1">
        <v>43073</v>
      </c>
      <c r="C488" t="s">
        <v>108</v>
      </c>
      <c r="E488" t="s">
        <v>730</v>
      </c>
      <c r="F488" t="s">
        <v>52</v>
      </c>
      <c r="H488" t="s">
        <v>12</v>
      </c>
      <c r="J488" t="str">
        <f>IF(ISNUMBER(SEARCH("Episode",A488:A1091)),A488:A1091,"")</f>
        <v>Episode 328 - The Punisher (2004)</v>
      </c>
      <c r="M488" t="str">
        <f t="shared" si="7"/>
        <v>The Punisher (2004)</v>
      </c>
      <c r="P488" t="str">
        <f>VLOOKUP(J488,A487:K1089,6,TRUE)</f>
        <v>Episode 13</v>
      </c>
    </row>
    <row r="489" spans="1:16" x14ac:dyDescent="0.25">
      <c r="A489" t="s">
        <v>757</v>
      </c>
      <c r="B489" s="1">
        <v>43077</v>
      </c>
      <c r="C489" t="s">
        <v>619</v>
      </c>
      <c r="E489" t="s">
        <v>730</v>
      </c>
      <c r="H489" t="s">
        <v>369</v>
      </c>
      <c r="J489" t="str">
        <f>IF(ISNUMBER(SEARCH("Episode",A489:A1092)),A489:A1092,"")</f>
        <v/>
      </c>
      <c r="M489" t="str">
        <f t="shared" si="7"/>
        <v/>
      </c>
      <c r="P489" t="e">
        <f>VLOOKUP(J489,A488:K1090,6,TRUE)</f>
        <v>#N/A</v>
      </c>
    </row>
    <row r="490" spans="1:16" x14ac:dyDescent="0.25">
      <c r="A490" t="s">
        <v>758</v>
      </c>
      <c r="B490" s="1">
        <v>43080</v>
      </c>
      <c r="C490" t="s">
        <v>108</v>
      </c>
      <c r="E490" t="s">
        <v>730</v>
      </c>
      <c r="F490" t="s">
        <v>56</v>
      </c>
      <c r="H490" t="s">
        <v>12</v>
      </c>
      <c r="J490" t="str">
        <f>IF(ISNUMBER(SEARCH("Episode",A490:A1093)),A490:A1093,"")</f>
        <v>Episode 329 - Hard to Kill</v>
      </c>
      <c r="M490" t="str">
        <f t="shared" si="7"/>
        <v>Hard to Kill</v>
      </c>
      <c r="P490">
        <f>VLOOKUP(J490,A489:K1091,6,TRUE)</f>
        <v>0</v>
      </c>
    </row>
    <row r="491" spans="1:16" x14ac:dyDescent="0.25">
      <c r="A491" t="s">
        <v>759</v>
      </c>
      <c r="B491" s="1">
        <v>43084</v>
      </c>
      <c r="C491" t="s">
        <v>619</v>
      </c>
      <c r="E491" t="s">
        <v>730</v>
      </c>
      <c r="H491" t="s">
        <v>236</v>
      </c>
      <c r="J491" t="str">
        <f>IF(ISNUMBER(SEARCH("Episode",A491:A1094)),A491:A1094,"")</f>
        <v/>
      </c>
      <c r="M491" t="str">
        <f t="shared" si="7"/>
        <v/>
      </c>
      <c r="P491" t="e">
        <f>VLOOKUP(J491,A490:K1092,6,TRUE)</f>
        <v>#N/A</v>
      </c>
    </row>
    <row r="492" spans="1:16" x14ac:dyDescent="0.25">
      <c r="A492" t="s">
        <v>760</v>
      </c>
      <c r="B492" s="1">
        <v>43087</v>
      </c>
      <c r="C492" t="s">
        <v>108</v>
      </c>
      <c r="E492" t="s">
        <v>730</v>
      </c>
      <c r="F492" t="s">
        <v>59</v>
      </c>
      <c r="H492" t="s">
        <v>12</v>
      </c>
      <c r="J492" t="str">
        <f>IF(ISNUMBER(SEARCH("Episode",A492:A1095)),A492:A1095,"")</f>
        <v>Episode 330 - Pottersville</v>
      </c>
      <c r="M492" t="str">
        <f t="shared" si="7"/>
        <v>Pottersville</v>
      </c>
      <c r="P492">
        <f>VLOOKUP(J492,A491:K1093,6,TRUE)</f>
        <v>0</v>
      </c>
    </row>
    <row r="493" spans="1:16" x14ac:dyDescent="0.25">
      <c r="A493" t="s">
        <v>761</v>
      </c>
      <c r="B493" s="1">
        <v>43087</v>
      </c>
      <c r="C493" t="s">
        <v>108</v>
      </c>
      <c r="E493" t="s">
        <v>730</v>
      </c>
      <c r="H493" t="s">
        <v>34</v>
      </c>
      <c r="J493" t="str">
        <f>IF(ISNUMBER(SEARCH("Episode",A493:A1096)),A493:A1096,"")</f>
        <v>WHM On-Screen: Star Wars: Episode VIII - The Last Jedi</v>
      </c>
      <c r="M493" t="str">
        <f t="shared" si="7"/>
        <v xml:space="preserve"> Star Wars: Episode VIII - The Last Jedi</v>
      </c>
      <c r="P493">
        <f>VLOOKUP(J493,A492:K1094,6,TRUE)</f>
        <v>0</v>
      </c>
    </row>
    <row r="494" spans="1:16" x14ac:dyDescent="0.25">
      <c r="A494" t="s">
        <v>762</v>
      </c>
      <c r="B494" s="1">
        <v>43088</v>
      </c>
      <c r="C494" t="s">
        <v>108</v>
      </c>
      <c r="E494" t="s">
        <v>730</v>
      </c>
      <c r="H494" t="s">
        <v>241</v>
      </c>
      <c r="J494" t="str">
        <f>IF(ISNUMBER(SEARCH("Episode",A494:A1097)),A494:A1097,"")</f>
        <v/>
      </c>
      <c r="M494" t="str">
        <f t="shared" si="7"/>
        <v/>
      </c>
      <c r="P494" t="e">
        <f>VLOOKUP(J494,A493:K1095,6,TRUE)</f>
        <v>#N/A</v>
      </c>
    </row>
    <row r="495" spans="1:16" x14ac:dyDescent="0.25">
      <c r="A495" t="s">
        <v>763</v>
      </c>
      <c r="B495" s="1">
        <v>43093</v>
      </c>
      <c r="C495" t="s">
        <v>108</v>
      </c>
      <c r="E495" t="s">
        <v>730</v>
      </c>
      <c r="F495" t="s">
        <v>65</v>
      </c>
      <c r="G495" t="s">
        <v>764</v>
      </c>
      <c r="H495" t="s">
        <v>12</v>
      </c>
      <c r="J495" t="str">
        <f>IF(ISNUMBER(SEARCH("Episode",A495:A1098)),A495:A1098,"")</f>
        <v>Episode 331 - Constantine (Live)</v>
      </c>
      <c r="M495" t="str">
        <f t="shared" si="7"/>
        <v>Constantine (Live)</v>
      </c>
      <c r="P495" t="str">
        <f>VLOOKUP(J495,A494:K1096,6,TRUE)</f>
        <v>Episode 16</v>
      </c>
    </row>
    <row r="496" spans="1:16" x14ac:dyDescent="0.25">
      <c r="A496" t="s">
        <v>765</v>
      </c>
      <c r="B496" s="1">
        <v>43093</v>
      </c>
      <c r="C496" t="s">
        <v>619</v>
      </c>
      <c r="E496" t="s">
        <v>730</v>
      </c>
      <c r="H496" t="s">
        <v>621</v>
      </c>
      <c r="J496" t="str">
        <f>IF(ISNUMBER(SEARCH("Episode",A496:A1099)),A496:A1099,"")</f>
        <v/>
      </c>
      <c r="M496" t="str">
        <f t="shared" si="7"/>
        <v/>
      </c>
      <c r="P496" t="e">
        <f>VLOOKUP(J496,A495:K1097,6,TRUE)</f>
        <v>#N/A</v>
      </c>
    </row>
    <row r="497" spans="1:16" x14ac:dyDescent="0.25">
      <c r="A497" t="s">
        <v>766</v>
      </c>
      <c r="B497" s="1">
        <v>43101</v>
      </c>
      <c r="C497" t="s">
        <v>108</v>
      </c>
      <c r="E497" t="s">
        <v>730</v>
      </c>
      <c r="F497" t="s">
        <v>68</v>
      </c>
      <c r="G497" t="s">
        <v>767</v>
      </c>
      <c r="H497" t="s">
        <v>12</v>
      </c>
      <c r="J497" t="str">
        <f>IF(ISNUMBER(SEARCH("Episode",A497:A1100)),A497:A1100,"")</f>
        <v>Episode 332 - The Boss Baby</v>
      </c>
      <c r="M497" t="str">
        <f t="shared" si="7"/>
        <v>The Boss Baby</v>
      </c>
      <c r="P497" t="str">
        <f>VLOOKUP(J497,A496:K1098,6,TRUE)</f>
        <v>Episode 17</v>
      </c>
    </row>
    <row r="498" spans="1:16" x14ac:dyDescent="0.25">
      <c r="A498" t="s">
        <v>768</v>
      </c>
      <c r="B498" s="1">
        <v>43104</v>
      </c>
      <c r="C498" t="s">
        <v>619</v>
      </c>
      <c r="E498" t="s">
        <v>730</v>
      </c>
      <c r="F498" t="s">
        <v>71</v>
      </c>
      <c r="G498" t="s">
        <v>767</v>
      </c>
      <c r="H498" t="s">
        <v>12</v>
      </c>
      <c r="J498" t="str">
        <f>IF(ISNUMBER(SEARCH("Episode",A498:A1101)),A498:A1101,"")</f>
        <v>Episode 333 - Bright</v>
      </c>
      <c r="M498" t="str">
        <f t="shared" si="7"/>
        <v>Bright</v>
      </c>
      <c r="P498">
        <f>VLOOKUP(J498,A497:K1099,6,TRUE)</f>
        <v>0</v>
      </c>
    </row>
    <row r="499" spans="1:16" x14ac:dyDescent="0.25">
      <c r="A499" t="s">
        <v>769</v>
      </c>
      <c r="B499" s="1">
        <v>43109</v>
      </c>
      <c r="C499" t="s">
        <v>108</v>
      </c>
      <c r="E499" t="s">
        <v>730</v>
      </c>
      <c r="F499" t="s">
        <v>74</v>
      </c>
      <c r="G499" t="s">
        <v>767</v>
      </c>
      <c r="H499" t="s">
        <v>12</v>
      </c>
      <c r="J499" t="str">
        <f>IF(ISNUMBER(SEARCH("Episode",A499:A1102)),A499:A1102,"")</f>
        <v>Episode 334 - The Fate of the Furious</v>
      </c>
      <c r="M499" t="str">
        <f t="shared" si="7"/>
        <v>The Fate of the Furious</v>
      </c>
      <c r="P499" t="str">
        <f>VLOOKUP(J499,A498:K1100,6,TRUE)</f>
        <v>Episode 19</v>
      </c>
    </row>
    <row r="500" spans="1:16" x14ac:dyDescent="0.25">
      <c r="A500" t="s">
        <v>770</v>
      </c>
      <c r="B500" s="1">
        <v>43113</v>
      </c>
      <c r="C500" t="s">
        <v>619</v>
      </c>
      <c r="E500" t="s">
        <v>730</v>
      </c>
      <c r="H500" t="s">
        <v>369</v>
      </c>
      <c r="J500" t="str">
        <f>IF(ISNUMBER(SEARCH("Episode",A500:A1103)),A500:A1103,"")</f>
        <v/>
      </c>
      <c r="M500" t="str">
        <f t="shared" si="7"/>
        <v/>
      </c>
      <c r="P500" t="e">
        <f>VLOOKUP(J500,A499:K1101,6,TRUE)</f>
        <v>#N/A</v>
      </c>
    </row>
    <row r="501" spans="1:16" x14ac:dyDescent="0.25">
      <c r="A501" t="s">
        <v>771</v>
      </c>
      <c r="B501" s="1">
        <v>43116</v>
      </c>
      <c r="C501" t="s">
        <v>108</v>
      </c>
      <c r="E501" t="s">
        <v>730</v>
      </c>
      <c r="F501" t="s">
        <v>79</v>
      </c>
      <c r="G501" t="s">
        <v>767</v>
      </c>
      <c r="H501" t="s">
        <v>12</v>
      </c>
      <c r="J501" t="str">
        <f>IF(ISNUMBER(SEARCH("Episode",A501:A1104)),A501:A1104,"")</f>
        <v>Episode 335 - The Bye Bye Man</v>
      </c>
      <c r="M501" t="str">
        <f t="shared" si="7"/>
        <v>The Bye Bye Man</v>
      </c>
      <c r="P501" t="str">
        <f>VLOOKUP(J501,A500:K1102,6,TRUE)</f>
        <v>Episode 20</v>
      </c>
    </row>
    <row r="502" spans="1:16" x14ac:dyDescent="0.25">
      <c r="A502" t="s">
        <v>772</v>
      </c>
      <c r="B502" s="1">
        <v>43123</v>
      </c>
      <c r="C502" t="s">
        <v>108</v>
      </c>
      <c r="E502" t="s">
        <v>730</v>
      </c>
      <c r="F502" t="s">
        <v>85</v>
      </c>
      <c r="G502" t="s">
        <v>767</v>
      </c>
      <c r="H502" t="s">
        <v>12</v>
      </c>
      <c r="J502" t="str">
        <f>IF(ISNUMBER(SEARCH("Episode",A502:A1105)),A502:A1105,"")</f>
        <v>Episode 336 - Geostorm</v>
      </c>
      <c r="M502" t="str">
        <f t="shared" si="7"/>
        <v>Geostorm</v>
      </c>
      <c r="P502" t="str">
        <f>VLOOKUP(J502,A501:K1103,6,TRUE)</f>
        <v>Episode 21</v>
      </c>
    </row>
    <row r="503" spans="1:16" x14ac:dyDescent="0.25">
      <c r="A503" t="s">
        <v>773</v>
      </c>
      <c r="B503" s="1">
        <v>43125</v>
      </c>
      <c r="C503" t="s">
        <v>619</v>
      </c>
      <c r="E503" t="s">
        <v>730</v>
      </c>
      <c r="H503" t="s">
        <v>621</v>
      </c>
      <c r="J503" t="str">
        <f>IF(ISNUMBER(SEARCH("Episode",A503:A1106)),A503:A1106,"")</f>
        <v/>
      </c>
      <c r="M503" t="str">
        <f t="shared" si="7"/>
        <v/>
      </c>
      <c r="P503" t="e">
        <f>VLOOKUP(J503,A502:K1104,6,TRUE)</f>
        <v>#N/A</v>
      </c>
    </row>
    <row r="504" spans="1:16" x14ac:dyDescent="0.25">
      <c r="A504" t="s">
        <v>774</v>
      </c>
      <c r="B504" s="1">
        <v>43130</v>
      </c>
      <c r="C504" t="s">
        <v>108</v>
      </c>
      <c r="E504" t="s">
        <v>730</v>
      </c>
      <c r="F504" t="s">
        <v>143</v>
      </c>
      <c r="G504" t="s">
        <v>767</v>
      </c>
      <c r="H504" t="s">
        <v>12</v>
      </c>
      <c r="J504" t="str">
        <f>IF(ISNUMBER(SEARCH("Episode",A504:A1107)),A504:A1107,"")</f>
        <v>Episode 337 - Going In Style</v>
      </c>
      <c r="M504" t="str">
        <f t="shared" si="7"/>
        <v>Going In Style</v>
      </c>
      <c r="P504">
        <f>VLOOKUP(J504,A503:K1105,6,TRUE)</f>
        <v>0</v>
      </c>
    </row>
    <row r="505" spans="1:16" x14ac:dyDescent="0.25">
      <c r="A505" t="s">
        <v>775</v>
      </c>
      <c r="B505" s="1">
        <v>43131</v>
      </c>
      <c r="C505" t="s">
        <v>108</v>
      </c>
      <c r="E505" t="s">
        <v>730</v>
      </c>
      <c r="H505" t="s">
        <v>241</v>
      </c>
      <c r="J505" t="str">
        <f>IF(ISNUMBER(SEARCH("Episode",A505:A1108)),A505:A1108,"")</f>
        <v/>
      </c>
      <c r="M505" t="str">
        <f t="shared" si="7"/>
        <v/>
      </c>
      <c r="P505" t="e">
        <f>VLOOKUP(J505,A504:K1106,6,TRUE)</f>
        <v>#N/A</v>
      </c>
    </row>
    <row r="506" spans="1:16" x14ac:dyDescent="0.25">
      <c r="A506" t="s">
        <v>776</v>
      </c>
      <c r="B506" s="1">
        <v>43137</v>
      </c>
      <c r="C506" t="s">
        <v>108</v>
      </c>
      <c r="E506" t="s">
        <v>730</v>
      </c>
      <c r="F506" t="s">
        <v>145</v>
      </c>
      <c r="G506" t="s">
        <v>777</v>
      </c>
      <c r="H506" t="s">
        <v>12</v>
      </c>
      <c r="J506" t="str">
        <f>IF(ISNUMBER(SEARCH("Episode",A506:A1109)),A506:A1109,"")</f>
        <v>Episode 338 - Blade: Trinity (Live)</v>
      </c>
      <c r="M506" t="str">
        <f t="shared" si="7"/>
        <v>Blade: Trinity (Live)</v>
      </c>
      <c r="P506" t="str">
        <f>VLOOKUP(J506,A505:K1107,6,TRUE)</f>
        <v>Episode 23</v>
      </c>
    </row>
    <row r="507" spans="1:16" x14ac:dyDescent="0.25">
      <c r="A507" t="s">
        <v>778</v>
      </c>
      <c r="B507" s="1">
        <v>43140</v>
      </c>
      <c r="C507" t="s">
        <v>619</v>
      </c>
      <c r="E507" t="s">
        <v>730</v>
      </c>
      <c r="H507" t="s">
        <v>369</v>
      </c>
      <c r="J507" t="str">
        <f>IF(ISNUMBER(SEARCH("Episode",A507:A1110)),A507:A1110,"")</f>
        <v/>
      </c>
      <c r="M507" t="str">
        <f t="shared" si="7"/>
        <v/>
      </c>
      <c r="P507" t="e">
        <f>VLOOKUP(J507,A506:K1108,6,TRUE)</f>
        <v>#N/A</v>
      </c>
    </row>
    <row r="508" spans="1:16" x14ac:dyDescent="0.25">
      <c r="A508" t="s">
        <v>779</v>
      </c>
      <c r="B508" s="1">
        <v>43142</v>
      </c>
      <c r="C508" t="s">
        <v>619</v>
      </c>
      <c r="E508" t="s">
        <v>730</v>
      </c>
      <c r="F508" t="s">
        <v>148</v>
      </c>
      <c r="H508" t="s">
        <v>12</v>
      </c>
      <c r="J508" t="str">
        <f>IF(ISNUMBER(SEARCH("Episode",A508:A1111)),A508:A1111,"")</f>
        <v>Episode 339 - Man Of Steel</v>
      </c>
      <c r="M508" t="str">
        <f t="shared" si="7"/>
        <v>Man Of Steel</v>
      </c>
      <c r="P508" t="str">
        <f>VLOOKUP(J508,A507:K1109,6,TRUE)</f>
        <v>Episode 24</v>
      </c>
    </row>
    <row r="509" spans="1:16" x14ac:dyDescent="0.25">
      <c r="A509" t="s">
        <v>780</v>
      </c>
      <c r="B509" s="1">
        <v>43144</v>
      </c>
      <c r="C509" t="s">
        <v>108</v>
      </c>
      <c r="E509" t="s">
        <v>730</v>
      </c>
      <c r="F509" t="s">
        <v>151</v>
      </c>
      <c r="H509" t="s">
        <v>12</v>
      </c>
      <c r="J509" t="str">
        <f>IF(ISNUMBER(SEARCH("Episode",A509:A1112)),A509:A1112,"")</f>
        <v>Episode 340 - You've Got Mail</v>
      </c>
      <c r="M509" t="str">
        <f t="shared" si="7"/>
        <v>You've Got Mail</v>
      </c>
      <c r="P509" t="str">
        <f>VLOOKUP(J509,A508:K1110,6,TRUE)</f>
        <v>Episode 25</v>
      </c>
    </row>
    <row r="510" spans="1:16" x14ac:dyDescent="0.25">
      <c r="A510" t="s">
        <v>781</v>
      </c>
      <c r="B510" s="1">
        <v>43151</v>
      </c>
      <c r="C510" t="s">
        <v>108</v>
      </c>
      <c r="E510" t="s">
        <v>730</v>
      </c>
      <c r="F510" t="s">
        <v>154</v>
      </c>
      <c r="H510" t="s">
        <v>12</v>
      </c>
      <c r="J510" t="str">
        <f>IF(ISNUMBER(SEARCH("Episode",A510:A1113)),A510:A1113,"")</f>
        <v>Episode 341 - Traces of Red</v>
      </c>
      <c r="M510" t="str">
        <f t="shared" si="7"/>
        <v>Traces of Red</v>
      </c>
      <c r="P510">
        <f>VLOOKUP(J510,A509:K1111,6,TRUE)</f>
        <v>0</v>
      </c>
    </row>
    <row r="511" spans="1:16" x14ac:dyDescent="0.25">
      <c r="A511" t="s">
        <v>782</v>
      </c>
      <c r="B511" s="1">
        <v>43152</v>
      </c>
      <c r="C511" t="s">
        <v>108</v>
      </c>
      <c r="E511" t="s">
        <v>730</v>
      </c>
      <c r="H511" t="s">
        <v>34</v>
      </c>
      <c r="J511" t="str">
        <f>IF(ISNUMBER(SEARCH("Episode",A511:A1114)),A511:A1114,"")</f>
        <v/>
      </c>
      <c r="M511" t="str">
        <f t="shared" si="7"/>
        <v/>
      </c>
      <c r="P511" t="e">
        <f>VLOOKUP(J511,A510:K1112,6,TRUE)</f>
        <v>#N/A</v>
      </c>
    </row>
    <row r="512" spans="1:16" x14ac:dyDescent="0.25">
      <c r="A512" t="s">
        <v>783</v>
      </c>
      <c r="B512" s="1">
        <v>43154</v>
      </c>
      <c r="C512" t="s">
        <v>619</v>
      </c>
      <c r="E512" t="s">
        <v>730</v>
      </c>
      <c r="H512" t="s">
        <v>621</v>
      </c>
      <c r="J512" t="str">
        <f>IF(ISNUMBER(SEARCH("Episode",A512:A1115)),A512:A1115,"")</f>
        <v/>
      </c>
      <c r="M512" t="str">
        <f t="shared" si="7"/>
        <v/>
      </c>
      <c r="P512" t="e">
        <f>VLOOKUP(J512,A511:K1113,6,TRUE)</f>
        <v>#N/A</v>
      </c>
    </row>
    <row r="513" spans="1:16" x14ac:dyDescent="0.25">
      <c r="A513" t="s">
        <v>784</v>
      </c>
      <c r="B513" s="1">
        <v>43158</v>
      </c>
      <c r="C513" t="s">
        <v>108</v>
      </c>
      <c r="E513" t="s">
        <v>730</v>
      </c>
      <c r="F513" t="s">
        <v>157</v>
      </c>
      <c r="H513" t="s">
        <v>12</v>
      </c>
      <c r="J513" t="str">
        <f>IF(ISNUMBER(SEARCH("Episode",A513:A1116)),A513:A1116,"")</f>
        <v>Episode 342 - Death Wish V: The Face of Death</v>
      </c>
      <c r="M513" t="str">
        <f t="shared" si="7"/>
        <v>Death Wish V: The Face of Death</v>
      </c>
      <c r="P513">
        <f>VLOOKUP(J513,A512:K1114,6,TRUE)</f>
        <v>0</v>
      </c>
    </row>
    <row r="514" spans="1:16" x14ac:dyDescent="0.25">
      <c r="A514" t="s">
        <v>785</v>
      </c>
      <c r="B514" s="1">
        <v>43158</v>
      </c>
      <c r="C514" t="s">
        <v>108</v>
      </c>
      <c r="E514" t="s">
        <v>730</v>
      </c>
      <c r="H514" t="s">
        <v>241</v>
      </c>
      <c r="J514" t="str">
        <f>IF(ISNUMBER(SEARCH("Episode",A514:A1117)),A514:A1117,"")</f>
        <v/>
      </c>
      <c r="M514" t="str">
        <f t="shared" si="7"/>
        <v/>
      </c>
      <c r="P514" t="e">
        <f>VLOOKUP(J514,A513:K1115,6,TRUE)</f>
        <v>#N/A</v>
      </c>
    </row>
    <row r="515" spans="1:16" x14ac:dyDescent="0.25">
      <c r="A515" t="s">
        <v>786</v>
      </c>
      <c r="B515" s="1">
        <v>43160</v>
      </c>
      <c r="C515" t="s">
        <v>108</v>
      </c>
      <c r="E515" t="s">
        <v>730</v>
      </c>
      <c r="H515" t="s">
        <v>34</v>
      </c>
      <c r="J515" t="str">
        <f>IF(ISNUMBER(SEARCH("Episode",A515:A1118)),A515:A1118,"")</f>
        <v/>
      </c>
      <c r="M515" t="str">
        <f t="shared" ref="M515:M578" si="8">REPLACE(J515,1,14,"")</f>
        <v/>
      </c>
      <c r="P515" t="e">
        <f>VLOOKUP(J515,A514:K1116,6,TRUE)</f>
        <v>#N/A</v>
      </c>
    </row>
    <row r="516" spans="1:16" x14ac:dyDescent="0.25">
      <c r="A516" t="s">
        <v>787</v>
      </c>
      <c r="B516" s="1">
        <v>43165</v>
      </c>
      <c r="C516" t="s">
        <v>108</v>
      </c>
      <c r="E516" t="s">
        <v>730</v>
      </c>
      <c r="F516" t="s">
        <v>160</v>
      </c>
      <c r="G516" t="s">
        <v>788</v>
      </c>
      <c r="H516" t="s">
        <v>12</v>
      </c>
      <c r="J516" t="str">
        <f>IF(ISNUMBER(SEARCH("Episode",A516:A1119)),A516:A1119,"")</f>
        <v>Episode 343 - The Jerky Boys</v>
      </c>
      <c r="M516" t="str">
        <f t="shared" si="8"/>
        <v>The Jerky Boys</v>
      </c>
      <c r="P516" t="str">
        <f>VLOOKUP(J516,A515:K1117,6,TRUE)</f>
        <v>Episode 28</v>
      </c>
    </row>
    <row r="517" spans="1:16" x14ac:dyDescent="0.25">
      <c r="A517" t="s">
        <v>789</v>
      </c>
      <c r="B517" s="1">
        <v>43167</v>
      </c>
      <c r="C517" t="s">
        <v>619</v>
      </c>
      <c r="E517" t="s">
        <v>730</v>
      </c>
      <c r="F517" t="s">
        <v>163</v>
      </c>
      <c r="G517" t="s">
        <v>788</v>
      </c>
      <c r="H517" t="s">
        <v>12</v>
      </c>
      <c r="J517" t="str">
        <f>IF(ISNUMBER(SEARCH("Episode",A517:A1120)),A517:A1120,"")</f>
        <v>Episode 344 - Ghost Rider: Spirit of Vengeance</v>
      </c>
      <c r="M517" t="str">
        <f t="shared" si="8"/>
        <v>Ghost Rider: Spirit of Vengeance</v>
      </c>
      <c r="P517" t="str">
        <f>VLOOKUP(J517,A516:K1118,6,TRUE)</f>
        <v>Episode 29</v>
      </c>
    </row>
    <row r="518" spans="1:16" x14ac:dyDescent="0.25">
      <c r="A518" t="s">
        <v>790</v>
      </c>
      <c r="B518" s="1">
        <v>43171</v>
      </c>
      <c r="C518" t="s">
        <v>108</v>
      </c>
      <c r="E518" t="s">
        <v>730</v>
      </c>
      <c r="F518" t="s">
        <v>166</v>
      </c>
      <c r="G518" t="s">
        <v>791</v>
      </c>
      <c r="H518" t="s">
        <v>12</v>
      </c>
      <c r="J518" t="str">
        <f>IF(ISNUMBER(SEARCH("Episode",A518:A1121)),A518:A1121,"")</f>
        <v>Episode 345 - Maximum Overdrive (Live)</v>
      </c>
      <c r="M518" t="str">
        <f t="shared" si="8"/>
        <v>Maximum Overdrive (Live)</v>
      </c>
      <c r="P518">
        <f>VLOOKUP(J518,A517:K1119,6,TRUE)</f>
        <v>0</v>
      </c>
    </row>
    <row r="519" spans="1:16" x14ac:dyDescent="0.25">
      <c r="A519" t="s">
        <v>792</v>
      </c>
      <c r="B519" s="1">
        <v>43173</v>
      </c>
      <c r="C519" t="s">
        <v>108</v>
      </c>
      <c r="E519" t="s">
        <v>730</v>
      </c>
      <c r="F519" t="s">
        <v>169</v>
      </c>
      <c r="G519" t="s">
        <v>788</v>
      </c>
      <c r="H519" t="s">
        <v>12</v>
      </c>
      <c r="J519" t="str">
        <f>IF(ISNUMBER(SEARCH("Episode",A519:A1122)),A519:A1122,"")</f>
        <v>Episode 346 - I'll Always Know What You Did Last Summer</v>
      </c>
      <c r="M519" t="str">
        <f t="shared" si="8"/>
        <v>I'll Always Know What You Did Last Summer</v>
      </c>
      <c r="P519">
        <f>VLOOKUP(J519,A518:K1120,6,TRUE)</f>
        <v>0</v>
      </c>
    </row>
    <row r="520" spans="1:16" x14ac:dyDescent="0.25">
      <c r="A520" t="s">
        <v>793</v>
      </c>
      <c r="B520" s="1">
        <v>43174</v>
      </c>
      <c r="C520" t="s">
        <v>619</v>
      </c>
      <c r="E520" t="s">
        <v>730</v>
      </c>
      <c r="H520" t="s">
        <v>369</v>
      </c>
      <c r="J520" t="str">
        <f>IF(ISNUMBER(SEARCH("Episode",A520:A1123)),A520:A1123,"")</f>
        <v/>
      </c>
      <c r="M520" t="str">
        <f t="shared" si="8"/>
        <v/>
      </c>
      <c r="P520" t="e">
        <f>VLOOKUP(J520,A519:K1121,6,TRUE)</f>
        <v>#N/A</v>
      </c>
    </row>
    <row r="521" spans="1:16" x14ac:dyDescent="0.25">
      <c r="A521" t="s">
        <v>794</v>
      </c>
      <c r="B521" s="1">
        <v>43179</v>
      </c>
      <c r="C521" t="s">
        <v>108</v>
      </c>
      <c r="E521" t="s">
        <v>730</v>
      </c>
      <c r="F521" t="s">
        <v>172</v>
      </c>
      <c r="G521" t="s">
        <v>788</v>
      </c>
      <c r="H521" t="s">
        <v>12</v>
      </c>
      <c r="J521" t="str">
        <f>IF(ISNUMBER(SEARCH("Episode",A521:A1124)),A521:A1124,"")</f>
        <v>Episode 347 - Tarzan the Ape Man</v>
      </c>
      <c r="M521" t="str">
        <f t="shared" si="8"/>
        <v>Tarzan the Ape Man</v>
      </c>
      <c r="P521" t="str">
        <f>VLOOKUP(J521,A520:K1122,6,TRUE)</f>
        <v>Episode 32</v>
      </c>
    </row>
    <row r="522" spans="1:16" x14ac:dyDescent="0.25">
      <c r="A522" t="s">
        <v>795</v>
      </c>
      <c r="B522" s="1">
        <v>43182</v>
      </c>
      <c r="C522" t="s">
        <v>619</v>
      </c>
      <c r="E522" t="s">
        <v>730</v>
      </c>
      <c r="G522" t="s">
        <v>788</v>
      </c>
      <c r="H522" t="s">
        <v>621</v>
      </c>
      <c r="J522" t="str">
        <f>IF(ISNUMBER(SEARCH("Episode",A522:A1125)),A522:A1125,"")</f>
        <v/>
      </c>
      <c r="M522" t="str">
        <f t="shared" si="8"/>
        <v/>
      </c>
      <c r="P522" t="e">
        <f>VLOOKUP(J522,A521:K1123,6,TRUE)</f>
        <v>#N/A</v>
      </c>
    </row>
    <row r="523" spans="1:16" x14ac:dyDescent="0.25">
      <c r="A523" t="s">
        <v>796</v>
      </c>
      <c r="B523" s="1">
        <v>43186</v>
      </c>
      <c r="C523" t="s">
        <v>108</v>
      </c>
      <c r="E523" t="s">
        <v>730</v>
      </c>
      <c r="F523" t="s">
        <v>175</v>
      </c>
      <c r="G523" t="s">
        <v>788</v>
      </c>
      <c r="H523" t="s">
        <v>12</v>
      </c>
      <c r="J523" t="str">
        <f>IF(ISNUMBER(SEARCH("Episode",A523:A1126)),A523:A1126,"")</f>
        <v>Episode 348 - I Know Who Killed Me</v>
      </c>
      <c r="M523" t="str">
        <f t="shared" si="8"/>
        <v>I Know Who Killed Me</v>
      </c>
      <c r="P523">
        <f>VLOOKUP(J523,A522:K1124,6,TRUE)</f>
        <v>0</v>
      </c>
    </row>
    <row r="524" spans="1:16" x14ac:dyDescent="0.25">
      <c r="A524" t="s">
        <v>797</v>
      </c>
      <c r="B524" s="1">
        <v>43188</v>
      </c>
      <c r="C524" t="s">
        <v>108</v>
      </c>
      <c r="E524" t="s">
        <v>730</v>
      </c>
      <c r="H524" t="s">
        <v>241</v>
      </c>
      <c r="J524" t="str">
        <f>IF(ISNUMBER(SEARCH("Episode",A524:A1127)),A524:A1127,"")</f>
        <v/>
      </c>
      <c r="M524" t="str">
        <f t="shared" si="8"/>
        <v/>
      </c>
      <c r="P524" t="e">
        <f>VLOOKUP(J524,A523:K1125,6,TRUE)</f>
        <v>#N/A</v>
      </c>
    </row>
    <row r="525" spans="1:16" x14ac:dyDescent="0.25">
      <c r="A525" t="s">
        <v>798</v>
      </c>
      <c r="B525" s="1">
        <v>43189</v>
      </c>
      <c r="C525" t="s">
        <v>619</v>
      </c>
      <c r="E525" t="s">
        <v>730</v>
      </c>
      <c r="H525" t="s">
        <v>236</v>
      </c>
      <c r="J525" t="str">
        <f>IF(ISNUMBER(SEARCH("Episode",A525:A1128)),A525:A1128,"")</f>
        <v/>
      </c>
      <c r="M525" t="str">
        <f t="shared" si="8"/>
        <v/>
      </c>
      <c r="P525" t="e">
        <f>VLOOKUP(J525,A524:K1126,6,TRUE)</f>
        <v>#N/A</v>
      </c>
    </row>
    <row r="526" spans="1:16" x14ac:dyDescent="0.25">
      <c r="A526" t="s">
        <v>799</v>
      </c>
      <c r="B526" s="1">
        <v>43192</v>
      </c>
      <c r="C526" t="s">
        <v>108</v>
      </c>
      <c r="E526" t="s">
        <v>730</v>
      </c>
      <c r="F526" t="s">
        <v>177</v>
      </c>
      <c r="H526" t="s">
        <v>12</v>
      </c>
      <c r="J526" t="str">
        <f>IF(ISNUMBER(SEARCH("Episode",A526:A1129)),A526:A1129,"")</f>
        <v>Episode 349 - Shrek</v>
      </c>
      <c r="M526" t="str">
        <f t="shared" si="8"/>
        <v>Shrek</v>
      </c>
      <c r="P526" t="str">
        <f>VLOOKUP(J526,A525:K1127,6,TRUE)</f>
        <v>Episode 34</v>
      </c>
    </row>
    <row r="527" spans="1:16" x14ac:dyDescent="0.25">
      <c r="A527" t="s">
        <v>800</v>
      </c>
      <c r="B527" s="1">
        <v>43198</v>
      </c>
      <c r="C527" t="s">
        <v>619</v>
      </c>
      <c r="E527" t="s">
        <v>730</v>
      </c>
      <c r="H527" t="s">
        <v>369</v>
      </c>
      <c r="J527" t="str">
        <f>IF(ISNUMBER(SEARCH("Episode",A527:A1130)),A527:A1130,"")</f>
        <v/>
      </c>
      <c r="M527" t="str">
        <f t="shared" si="8"/>
        <v/>
      </c>
      <c r="P527" t="e">
        <f>VLOOKUP(J527,A526:K1128,6,TRUE)</f>
        <v>#N/A</v>
      </c>
    </row>
    <row r="528" spans="1:16" x14ac:dyDescent="0.25">
      <c r="A528" t="s">
        <v>801</v>
      </c>
      <c r="B528" s="1">
        <v>43200</v>
      </c>
      <c r="C528" t="s">
        <v>108</v>
      </c>
      <c r="E528" t="s">
        <v>730</v>
      </c>
      <c r="F528" t="s">
        <v>180</v>
      </c>
      <c r="H528" t="s">
        <v>12</v>
      </c>
      <c r="J528" t="str">
        <f>IF(ISNUMBER(SEARCH("Episode",A528:A1131)),A528:A1131,"")</f>
        <v>Episode 350 - Wild Hogs</v>
      </c>
      <c r="M528" t="str">
        <f t="shared" si="8"/>
        <v>Wild Hogs</v>
      </c>
      <c r="P528">
        <f>VLOOKUP(J528,A527:K1129,6,TRUE)</f>
        <v>0</v>
      </c>
    </row>
    <row r="529" spans="1:16" x14ac:dyDescent="0.25">
      <c r="A529" t="s">
        <v>802</v>
      </c>
      <c r="B529" s="1">
        <v>43202</v>
      </c>
      <c r="C529" t="s">
        <v>619</v>
      </c>
      <c r="E529" t="s">
        <v>730</v>
      </c>
      <c r="F529" t="s">
        <v>183</v>
      </c>
      <c r="H529" t="s">
        <v>12</v>
      </c>
      <c r="J529" t="str">
        <f>IF(ISNUMBER(SEARCH("Episode",A529:A1132)),A529:A1132,"")</f>
        <v>Episode 351 - Jungle 2 Jungle</v>
      </c>
      <c r="M529" t="str">
        <f t="shared" si="8"/>
        <v>Jungle 2 Jungle</v>
      </c>
      <c r="P529">
        <f>VLOOKUP(J529,A528:K1130,6,TRUE)</f>
        <v>0</v>
      </c>
    </row>
    <row r="530" spans="1:16" x14ac:dyDescent="0.25">
      <c r="A530" t="s">
        <v>803</v>
      </c>
      <c r="B530" s="1">
        <v>43207</v>
      </c>
      <c r="C530" t="s">
        <v>108</v>
      </c>
      <c r="E530" t="s">
        <v>730</v>
      </c>
      <c r="F530" t="s">
        <v>186</v>
      </c>
      <c r="H530" t="s">
        <v>12</v>
      </c>
      <c r="J530" t="str">
        <f>IF(ISNUMBER(SEARCH("Episode",A530:A1133)),A530:A1133,"")</f>
        <v>Episode 352 - Lost in Space</v>
      </c>
      <c r="M530" t="str">
        <f t="shared" si="8"/>
        <v>Lost in Space</v>
      </c>
      <c r="P530" t="str">
        <f>VLOOKUP(J530,A529:K1131,6,TRUE)</f>
        <v>Episode 37</v>
      </c>
    </row>
    <row r="531" spans="1:16" x14ac:dyDescent="0.25">
      <c r="A531" t="s">
        <v>804</v>
      </c>
      <c r="B531" s="1">
        <v>43214</v>
      </c>
      <c r="C531" t="s">
        <v>108</v>
      </c>
      <c r="E531" t="s">
        <v>730</v>
      </c>
      <c r="F531" t="s">
        <v>188</v>
      </c>
      <c r="H531" t="s">
        <v>12</v>
      </c>
      <c r="J531" t="str">
        <f>IF(ISNUMBER(SEARCH("Episode",A531:A1134)),A531:A1134,"")</f>
        <v>Episode 353 - Airborne</v>
      </c>
      <c r="M531" t="str">
        <f t="shared" si="8"/>
        <v>Airborne</v>
      </c>
      <c r="P531" t="str">
        <f>VLOOKUP(J531,A530:K1132,6,TRUE)</f>
        <v>Episode 38</v>
      </c>
    </row>
    <row r="532" spans="1:16" x14ac:dyDescent="0.25">
      <c r="A532" t="s">
        <v>805</v>
      </c>
      <c r="B532" s="1">
        <v>43217</v>
      </c>
      <c r="C532" t="s">
        <v>619</v>
      </c>
      <c r="E532" t="s">
        <v>730</v>
      </c>
      <c r="H532" t="s">
        <v>621</v>
      </c>
      <c r="J532" t="str">
        <f>IF(ISNUMBER(SEARCH("Episode",A532:A1135)),A532:A1135,"")</f>
        <v/>
      </c>
      <c r="M532" t="str">
        <f t="shared" si="8"/>
        <v/>
      </c>
      <c r="P532" t="e">
        <f>VLOOKUP(J532,A531:K1133,6,TRUE)</f>
        <v>#N/A</v>
      </c>
    </row>
    <row r="533" spans="1:16" x14ac:dyDescent="0.25">
      <c r="A533" t="s">
        <v>806</v>
      </c>
      <c r="B533" s="1">
        <v>43221</v>
      </c>
      <c r="C533" t="s">
        <v>108</v>
      </c>
      <c r="E533" t="s">
        <v>730</v>
      </c>
      <c r="F533" t="s">
        <v>191</v>
      </c>
      <c r="H533" t="s">
        <v>12</v>
      </c>
      <c r="J533" t="str">
        <f>IF(ISNUMBER(SEARCH("Episode",A533:A1136)),A533:A1136,"")</f>
        <v>Episode 354 - The Bucket List</v>
      </c>
      <c r="M533" t="str">
        <f t="shared" si="8"/>
        <v>The Bucket List</v>
      </c>
      <c r="P533" t="str">
        <f>VLOOKUP(J533,A532:K1134,6,TRUE)</f>
        <v>Episode 39</v>
      </c>
    </row>
    <row r="534" spans="1:16" x14ac:dyDescent="0.25">
      <c r="A534" t="s">
        <v>807</v>
      </c>
      <c r="B534" s="1">
        <v>43222</v>
      </c>
      <c r="C534" t="s">
        <v>108</v>
      </c>
      <c r="E534" t="s">
        <v>730</v>
      </c>
      <c r="H534" t="s">
        <v>34</v>
      </c>
      <c r="J534" t="str">
        <f>IF(ISNUMBER(SEARCH("Episode",A534:A1137)),A534:A1137,"")</f>
        <v/>
      </c>
      <c r="M534" t="str">
        <f t="shared" si="8"/>
        <v/>
      </c>
      <c r="P534" t="e">
        <f>VLOOKUP(J534,A533:K1135,6,TRUE)</f>
        <v>#N/A</v>
      </c>
    </row>
    <row r="535" spans="1:16" x14ac:dyDescent="0.25">
      <c r="A535" t="s">
        <v>808</v>
      </c>
      <c r="B535" s="1">
        <v>43228</v>
      </c>
      <c r="C535" t="s">
        <v>108</v>
      </c>
      <c r="E535" t="s">
        <v>730</v>
      </c>
      <c r="F535" t="s">
        <v>194</v>
      </c>
      <c r="H535" t="s">
        <v>12</v>
      </c>
      <c r="J535" t="str">
        <f>IF(ISNUMBER(SEARCH("Episode",A535:A1138)),A535:A1138,"")</f>
        <v>Episode 355 - Dollman</v>
      </c>
      <c r="M535" t="str">
        <f t="shared" si="8"/>
        <v>Dollman</v>
      </c>
      <c r="P535" t="str">
        <f>VLOOKUP(J535,A534:K1136,6,TRUE)</f>
        <v>Episode 40</v>
      </c>
    </row>
    <row r="536" spans="1:16" x14ac:dyDescent="0.25">
      <c r="A536" t="s">
        <v>809</v>
      </c>
      <c r="B536" s="1">
        <v>43231</v>
      </c>
      <c r="C536" t="s">
        <v>619</v>
      </c>
      <c r="E536" t="s">
        <v>730</v>
      </c>
      <c r="F536" t="s">
        <v>198</v>
      </c>
      <c r="H536" t="s">
        <v>12</v>
      </c>
      <c r="J536" t="str">
        <f>IF(ISNUMBER(SEARCH("Episode",A536:A1139)),A536:A1139,"")</f>
        <v>Episode 356 - Transcendence</v>
      </c>
      <c r="M536" t="str">
        <f t="shared" si="8"/>
        <v>Transcendence</v>
      </c>
      <c r="P536" t="str">
        <f>VLOOKUP(J536,A535:K1137,6,TRUE)</f>
        <v>Episode 41</v>
      </c>
    </row>
    <row r="537" spans="1:16" x14ac:dyDescent="0.25">
      <c r="A537" t="s">
        <v>810</v>
      </c>
      <c r="B537" s="1">
        <v>43235</v>
      </c>
      <c r="C537" t="s">
        <v>108</v>
      </c>
      <c r="E537" t="s">
        <v>730</v>
      </c>
      <c r="F537" t="s">
        <v>201</v>
      </c>
      <c r="H537" t="s">
        <v>12</v>
      </c>
      <c r="J537" t="str">
        <f>IF(ISNUMBER(SEARCH("Episode",A537:A1140)),A537:A1140,"")</f>
        <v>Episode 357 - The X-Files: I Want To Believe</v>
      </c>
      <c r="M537" t="str">
        <f t="shared" si="8"/>
        <v>The X-Files: I Want To Believe</v>
      </c>
      <c r="P537">
        <f>VLOOKUP(J537,A536:K1138,6,TRUE)</f>
        <v>0</v>
      </c>
    </row>
    <row r="538" spans="1:16" x14ac:dyDescent="0.25">
      <c r="A538" t="s">
        <v>811</v>
      </c>
      <c r="B538" s="1">
        <v>43236</v>
      </c>
      <c r="C538" t="s">
        <v>108</v>
      </c>
      <c r="E538" t="s">
        <v>730</v>
      </c>
      <c r="H538" t="s">
        <v>241</v>
      </c>
      <c r="J538" t="str">
        <f>IF(ISNUMBER(SEARCH("Episode",A538:A1141)),A538:A1141,"")</f>
        <v/>
      </c>
      <c r="M538" t="str">
        <f t="shared" si="8"/>
        <v/>
      </c>
      <c r="P538" t="e">
        <f>VLOOKUP(J538,A537:K1139,6,TRUE)</f>
        <v>#N/A</v>
      </c>
    </row>
    <row r="539" spans="1:16" x14ac:dyDescent="0.25">
      <c r="A539" t="s">
        <v>812</v>
      </c>
      <c r="B539" s="1">
        <v>43238</v>
      </c>
      <c r="C539" t="s">
        <v>619</v>
      </c>
      <c r="E539" t="s">
        <v>730</v>
      </c>
      <c r="H539" t="s">
        <v>369</v>
      </c>
      <c r="J539" t="str">
        <f>IF(ISNUMBER(SEARCH("Episode",A539:A1142)),A539:A1142,"")</f>
        <v/>
      </c>
      <c r="M539" t="str">
        <f t="shared" si="8"/>
        <v/>
      </c>
      <c r="P539" t="e">
        <f>VLOOKUP(J539,A538:K1140,6,TRUE)</f>
        <v>#N/A</v>
      </c>
    </row>
    <row r="540" spans="1:16" x14ac:dyDescent="0.25">
      <c r="A540" t="s">
        <v>813</v>
      </c>
      <c r="B540" s="1">
        <v>43242</v>
      </c>
      <c r="C540" t="s">
        <v>108</v>
      </c>
      <c r="E540" t="s">
        <v>730</v>
      </c>
      <c r="F540" t="s">
        <v>204</v>
      </c>
      <c r="H540" t="s">
        <v>12</v>
      </c>
      <c r="J540" t="str">
        <f>IF(ISNUMBER(SEARCH("Episode",A540:A1143)),A540:A1143,"")</f>
        <v>Episode 358 - Witless Protection</v>
      </c>
      <c r="M540" t="str">
        <f t="shared" si="8"/>
        <v>Witless Protection</v>
      </c>
      <c r="P540" t="str">
        <f>VLOOKUP(J540,A539:K1141,6,TRUE)</f>
        <v>Episode 43</v>
      </c>
    </row>
    <row r="541" spans="1:16" x14ac:dyDescent="0.25">
      <c r="A541" t="s">
        <v>814</v>
      </c>
      <c r="B541" s="1">
        <v>43242</v>
      </c>
      <c r="C541" t="s">
        <v>619</v>
      </c>
      <c r="E541" t="s">
        <v>730</v>
      </c>
      <c r="H541" t="s">
        <v>621</v>
      </c>
      <c r="J541" t="str">
        <f>IF(ISNUMBER(SEARCH("Episode",A541:A1144)),A541:A1144,"")</f>
        <v/>
      </c>
      <c r="M541" t="str">
        <f t="shared" si="8"/>
        <v/>
      </c>
      <c r="P541" t="e">
        <f>VLOOKUP(J541,A540:K1142,6,TRUE)</f>
        <v>#N/A</v>
      </c>
    </row>
    <row r="542" spans="1:16" x14ac:dyDescent="0.25">
      <c r="A542" t="s">
        <v>815</v>
      </c>
      <c r="B542" s="1">
        <v>43249</v>
      </c>
      <c r="C542" t="s">
        <v>108</v>
      </c>
      <c r="E542" t="s">
        <v>730</v>
      </c>
      <c r="F542" t="s">
        <v>207</v>
      </c>
      <c r="G542" t="s">
        <v>816</v>
      </c>
      <c r="H542" t="s">
        <v>12</v>
      </c>
      <c r="J542" t="str">
        <f>IF(ISNUMBER(SEARCH("Episode",A542:A1145)),A542:A1145,"")</f>
        <v>Episode 359 - X-Men Origins: Wolverine</v>
      </c>
      <c r="M542" t="str">
        <f t="shared" si="8"/>
        <v>X-Men Origins: Wolverine</v>
      </c>
      <c r="P542" t="str">
        <f>VLOOKUP(J542,A541:K1143,6,TRUE)</f>
        <v>Episode 44</v>
      </c>
    </row>
    <row r="543" spans="1:16" x14ac:dyDescent="0.25">
      <c r="A543" t="s">
        <v>817</v>
      </c>
      <c r="B543" s="1">
        <v>43251</v>
      </c>
      <c r="C543" t="s">
        <v>108</v>
      </c>
      <c r="E543" t="s">
        <v>730</v>
      </c>
      <c r="H543" t="s">
        <v>34</v>
      </c>
      <c r="J543" t="str">
        <f>IF(ISNUMBER(SEARCH("Episode",A543:A1146)),A543:A1146,"")</f>
        <v/>
      </c>
      <c r="M543" t="str">
        <f t="shared" si="8"/>
        <v/>
      </c>
      <c r="P543" t="e">
        <f>VLOOKUP(J543,A542:K1144,6,TRUE)</f>
        <v>#N/A</v>
      </c>
    </row>
    <row r="544" spans="1:16" x14ac:dyDescent="0.25">
      <c r="A544" t="s">
        <v>818</v>
      </c>
      <c r="B544" s="1">
        <v>43256</v>
      </c>
      <c r="C544" t="s">
        <v>108</v>
      </c>
      <c r="E544" t="s">
        <v>730</v>
      </c>
      <c r="F544" t="s">
        <v>210</v>
      </c>
      <c r="G544" t="s">
        <v>816</v>
      </c>
      <c r="H544" t="s">
        <v>12</v>
      </c>
      <c r="J544" t="str">
        <f>IF(ISNUMBER(SEARCH("Episode",A544:A1147)),A544:A1147,"")</f>
        <v>Episode 360 - Ocean's Twelve</v>
      </c>
      <c r="M544" t="str">
        <f t="shared" si="8"/>
        <v>Ocean's Twelve</v>
      </c>
      <c r="P544" t="str">
        <f>VLOOKUP(J544,A543:K1145,6,TRUE)</f>
        <v>Episode 45</v>
      </c>
    </row>
    <row r="545" spans="1:16" x14ac:dyDescent="0.25">
      <c r="A545" t="s">
        <v>819</v>
      </c>
      <c r="B545" s="1">
        <v>43257</v>
      </c>
      <c r="C545" t="s">
        <v>619</v>
      </c>
      <c r="E545" t="s">
        <v>730</v>
      </c>
      <c r="H545" t="s">
        <v>369</v>
      </c>
      <c r="J545" t="str">
        <f>IF(ISNUMBER(SEARCH("Episode",A545:A1148)),A545:A1148,"")</f>
        <v/>
      </c>
      <c r="M545" t="str">
        <f t="shared" si="8"/>
        <v/>
      </c>
      <c r="P545" t="e">
        <f>VLOOKUP(J545,A544:K1146,6,TRUE)</f>
        <v>#N/A</v>
      </c>
    </row>
    <row r="546" spans="1:16" x14ac:dyDescent="0.25">
      <c r="A546" t="s">
        <v>820</v>
      </c>
      <c r="B546" s="1">
        <v>43263</v>
      </c>
      <c r="C546" t="s">
        <v>108</v>
      </c>
      <c r="E546" t="s">
        <v>730</v>
      </c>
      <c r="F546" t="s">
        <v>213</v>
      </c>
      <c r="G546" t="s">
        <v>816</v>
      </c>
      <c r="H546" t="s">
        <v>12</v>
      </c>
      <c r="J546" t="str">
        <f>IF(ISNUMBER(SEARCH("Episode",A546:A1149)),A546:A1149,"")</f>
        <v>Episode 361 - xXx</v>
      </c>
      <c r="M546" t="str">
        <f t="shared" si="8"/>
        <v>xXx</v>
      </c>
      <c r="P546" t="str">
        <f>VLOOKUP(J546,A545:K1147,6,TRUE)</f>
        <v>Episode 46</v>
      </c>
    </row>
    <row r="547" spans="1:16" x14ac:dyDescent="0.25">
      <c r="A547" t="s">
        <v>821</v>
      </c>
      <c r="B547" s="1">
        <v>43265</v>
      </c>
      <c r="C547" t="s">
        <v>619</v>
      </c>
      <c r="E547" t="s">
        <v>730</v>
      </c>
      <c r="F547" t="s">
        <v>216</v>
      </c>
      <c r="G547" t="s">
        <v>816</v>
      </c>
      <c r="H547" t="s">
        <v>12</v>
      </c>
      <c r="J547" t="str">
        <f>IF(ISNUMBER(SEARCH("Episode",A547:A1150)),A547:A1150,"")</f>
        <v>Episode 362 - Jurassic World</v>
      </c>
      <c r="M547" t="str">
        <f t="shared" si="8"/>
        <v>Jurassic World</v>
      </c>
      <c r="P547">
        <f>VLOOKUP(J547,A546:K1148,6,TRUE)</f>
        <v>0</v>
      </c>
    </row>
    <row r="548" spans="1:16" x14ac:dyDescent="0.25">
      <c r="A548" t="s">
        <v>822</v>
      </c>
      <c r="B548" s="1">
        <v>43266</v>
      </c>
      <c r="C548" t="s">
        <v>108</v>
      </c>
      <c r="E548" t="s">
        <v>730</v>
      </c>
      <c r="H548" t="s">
        <v>34</v>
      </c>
      <c r="J548" t="str">
        <f>IF(ISNUMBER(SEARCH("Episode",A548:A1151)),A548:A1151,"")</f>
        <v/>
      </c>
      <c r="M548" t="str">
        <f t="shared" si="8"/>
        <v/>
      </c>
      <c r="P548" t="e">
        <f>VLOOKUP(J548,A547:K1149,6,TRUE)</f>
        <v>#N/A</v>
      </c>
    </row>
    <row r="549" spans="1:16" x14ac:dyDescent="0.25">
      <c r="A549" t="s">
        <v>823</v>
      </c>
      <c r="B549" s="1">
        <v>43270</v>
      </c>
      <c r="C549" t="s">
        <v>108</v>
      </c>
      <c r="E549" t="s">
        <v>730</v>
      </c>
      <c r="F549" t="s">
        <v>219</v>
      </c>
      <c r="G549" t="s">
        <v>816</v>
      </c>
      <c r="H549" t="s">
        <v>12</v>
      </c>
      <c r="J549" t="str">
        <f>IF(ISNUMBER(SEARCH("Episode",A549:A1152)),A549:A1152,"")</f>
        <v>Episode 363 - Jurassic Park III</v>
      </c>
      <c r="M549" t="str">
        <f t="shared" si="8"/>
        <v>Jurassic Park III</v>
      </c>
      <c r="P549" t="str">
        <f>VLOOKUP(J549,A548:K1150,6,TRUE)</f>
        <v>Episode 48</v>
      </c>
    </row>
    <row r="550" spans="1:16" x14ac:dyDescent="0.25">
      <c r="A550" t="s">
        <v>824</v>
      </c>
      <c r="B550" s="1">
        <v>43272</v>
      </c>
      <c r="C550" t="s">
        <v>619</v>
      </c>
      <c r="E550" t="s">
        <v>730</v>
      </c>
      <c r="H550" t="s">
        <v>621</v>
      </c>
      <c r="J550" t="str">
        <f>IF(ISNUMBER(SEARCH("Episode",A550:A1153)),A550:A1153,"")</f>
        <v/>
      </c>
      <c r="M550" t="str">
        <f t="shared" si="8"/>
        <v/>
      </c>
      <c r="P550" t="e">
        <f>VLOOKUP(J550,A549:K1151,6,TRUE)</f>
        <v>#N/A</v>
      </c>
    </row>
    <row r="551" spans="1:16" x14ac:dyDescent="0.25">
      <c r="A551" t="s">
        <v>825</v>
      </c>
      <c r="B551" s="1">
        <v>43277</v>
      </c>
      <c r="C551" t="s">
        <v>108</v>
      </c>
      <c r="E551" t="s">
        <v>730</v>
      </c>
      <c r="F551" t="s">
        <v>222</v>
      </c>
      <c r="G551" t="s">
        <v>816</v>
      </c>
      <c r="H551" t="s">
        <v>12</v>
      </c>
      <c r="J551" t="str">
        <f>IF(ISNUMBER(SEARCH("Episode",A551:A1154)),A551:A1154,"")</f>
        <v>Episode 364 - Lethal Weapon 4</v>
      </c>
      <c r="M551" t="str">
        <f t="shared" si="8"/>
        <v>Lethal Weapon 4</v>
      </c>
      <c r="P551" t="str">
        <f>VLOOKUP(J551,A550:K1152,6,TRUE)</f>
        <v>Episode 49</v>
      </c>
    </row>
    <row r="552" spans="1:16" x14ac:dyDescent="0.25">
      <c r="A552" t="s">
        <v>826</v>
      </c>
      <c r="B552" s="1">
        <v>43280</v>
      </c>
      <c r="C552" t="s">
        <v>108</v>
      </c>
      <c r="E552" t="s">
        <v>730</v>
      </c>
      <c r="H552" t="s">
        <v>241</v>
      </c>
      <c r="J552" t="str">
        <f>IF(ISNUMBER(SEARCH("Episode",A552:A1155)),A552:A1155,"")</f>
        <v/>
      </c>
      <c r="M552" t="str">
        <f t="shared" si="8"/>
        <v/>
      </c>
      <c r="P552" t="e">
        <f>VLOOKUP(J552,A551:K1153,6,TRUE)</f>
        <v>#N/A</v>
      </c>
    </row>
    <row r="553" spans="1:16" x14ac:dyDescent="0.25">
      <c r="A553" t="s">
        <v>827</v>
      </c>
      <c r="B553" s="1">
        <v>43284</v>
      </c>
      <c r="C553" t="s">
        <v>108</v>
      </c>
      <c r="E553" t="s">
        <v>730</v>
      </c>
      <c r="F553" t="s">
        <v>225</v>
      </c>
      <c r="G553" t="s">
        <v>816</v>
      </c>
      <c r="H553" t="s">
        <v>12</v>
      </c>
      <c r="J553" t="str">
        <f>IF(ISNUMBER(SEARCH("Episode",A553:A1156)),A553:A1156,"")</f>
        <v>Episode 365 - Rambo III</v>
      </c>
      <c r="M553" t="str">
        <f t="shared" si="8"/>
        <v>Rambo III</v>
      </c>
      <c r="P553" t="str">
        <f>VLOOKUP(J553,A552:K1154,6,TRUE)</f>
        <v>Episode 50</v>
      </c>
    </row>
    <row r="554" spans="1:16" x14ac:dyDescent="0.25">
      <c r="A554" t="s">
        <v>828</v>
      </c>
      <c r="B554" s="1">
        <v>43287</v>
      </c>
      <c r="C554" t="s">
        <v>619</v>
      </c>
      <c r="E554" t="s">
        <v>730</v>
      </c>
      <c r="H554" t="s">
        <v>369</v>
      </c>
      <c r="J554" t="str">
        <f>IF(ISNUMBER(SEARCH("Episode",A554:A1157)),A554:A1157,"")</f>
        <v/>
      </c>
      <c r="M554" t="str">
        <f t="shared" si="8"/>
        <v/>
      </c>
      <c r="P554" t="e">
        <f>VLOOKUP(J554,A553:K1155,6,TRUE)</f>
        <v>#N/A</v>
      </c>
    </row>
    <row r="555" spans="1:16" x14ac:dyDescent="0.25">
      <c r="A555" t="s">
        <v>829</v>
      </c>
      <c r="B555" s="1">
        <v>43291</v>
      </c>
      <c r="C555" t="s">
        <v>108</v>
      </c>
      <c r="E555" t="s">
        <v>730</v>
      </c>
      <c r="F555" t="s">
        <v>227</v>
      </c>
      <c r="G555" t="s">
        <v>816</v>
      </c>
      <c r="H555" t="s">
        <v>12</v>
      </c>
      <c r="J555" t="str">
        <f>IF(ISNUMBER(SEARCH("Episode",A555:A1158)),A555:A1158,"")</f>
        <v>Episode 366 - Runaway Bride</v>
      </c>
      <c r="M555" t="str">
        <f t="shared" si="8"/>
        <v>Runaway Bride</v>
      </c>
      <c r="P555" t="str">
        <f>VLOOKUP(J555,A554:K1156,6,TRUE)</f>
        <v>Episode 51</v>
      </c>
    </row>
    <row r="556" spans="1:16" x14ac:dyDescent="0.25">
      <c r="A556" t="s">
        <v>830</v>
      </c>
      <c r="B556" s="1">
        <v>43293</v>
      </c>
      <c r="C556" t="s">
        <v>619</v>
      </c>
      <c r="E556" t="s">
        <v>730</v>
      </c>
      <c r="F556" t="s">
        <v>231</v>
      </c>
      <c r="G556" t="s">
        <v>816</v>
      </c>
      <c r="H556" t="s">
        <v>12</v>
      </c>
      <c r="J556" t="str">
        <f>IF(ISNUMBER(SEARCH("Episode",A556:A1159)),A556:A1159,"")</f>
        <v>Episode 367 - Americaâ€™s Sweethearts</v>
      </c>
      <c r="M556" t="str">
        <f t="shared" si="8"/>
        <v>Americaâ€™s Sweethearts</v>
      </c>
      <c r="P556">
        <f>VLOOKUP(J556,A555:K1157,6,TRUE)</f>
        <v>0</v>
      </c>
    </row>
    <row r="557" spans="1:16" x14ac:dyDescent="0.25">
      <c r="A557" t="s">
        <v>831</v>
      </c>
      <c r="B557" s="1">
        <v>43298</v>
      </c>
      <c r="C557" t="s">
        <v>108</v>
      </c>
      <c r="E557" t="s">
        <v>730</v>
      </c>
      <c r="F557" t="s">
        <v>832</v>
      </c>
      <c r="G557" t="s">
        <v>816</v>
      </c>
      <c r="H557" t="s">
        <v>12</v>
      </c>
      <c r="J557" t="str">
        <f>IF(ISNUMBER(SEARCH("Episode",A557:A1160)),A557:A1160,"")</f>
        <v>Episode 368 - Eraser</v>
      </c>
      <c r="M557" t="str">
        <f t="shared" si="8"/>
        <v>Eraser</v>
      </c>
      <c r="P557">
        <f>VLOOKUP(J557,A556:K1158,6,TRUE)</f>
        <v>0</v>
      </c>
    </row>
    <row r="558" spans="1:16" x14ac:dyDescent="0.25">
      <c r="A558" t="s">
        <v>833</v>
      </c>
      <c r="B558" s="1">
        <v>43302</v>
      </c>
      <c r="C558" t="s">
        <v>619</v>
      </c>
      <c r="E558" t="s">
        <v>730</v>
      </c>
      <c r="H558" t="s">
        <v>621</v>
      </c>
      <c r="J558" t="str">
        <f>IF(ISNUMBER(SEARCH("Episode",A558:A1161)),A558:A1161,"")</f>
        <v/>
      </c>
      <c r="M558" t="str">
        <f t="shared" si="8"/>
        <v/>
      </c>
      <c r="P558" t="e">
        <f>VLOOKUP(J558,A557:K1159,6,TRUE)</f>
        <v>#N/A</v>
      </c>
    </row>
    <row r="559" spans="1:16" x14ac:dyDescent="0.25">
      <c r="A559" t="s">
        <v>834</v>
      </c>
      <c r="B559" s="1">
        <v>43305</v>
      </c>
      <c r="C559" t="s">
        <v>108</v>
      </c>
      <c r="E559" t="s">
        <v>730</v>
      </c>
      <c r="F559" t="s">
        <v>835</v>
      </c>
      <c r="G559" t="s">
        <v>816</v>
      </c>
      <c r="H559" t="s">
        <v>12</v>
      </c>
      <c r="J559" t="str">
        <f>IF(ISNUMBER(SEARCH("Episode",A559:A1162)),A559:A1162,"")</f>
        <v>Episode 369 - Rookie of the Year</v>
      </c>
      <c r="M559" t="str">
        <f t="shared" si="8"/>
        <v>Rookie of the Year</v>
      </c>
      <c r="P559" t="str">
        <f>VLOOKUP(J559,A558:K1160,6,TRUE)</f>
        <v>Episode 54</v>
      </c>
    </row>
    <row r="560" spans="1:16" x14ac:dyDescent="0.25">
      <c r="A560" t="s">
        <v>836</v>
      </c>
      <c r="B560" s="1">
        <v>43311</v>
      </c>
      <c r="C560" t="s">
        <v>108</v>
      </c>
      <c r="E560" t="s">
        <v>730</v>
      </c>
      <c r="H560" t="s">
        <v>241</v>
      </c>
      <c r="J560" t="str">
        <f>IF(ISNUMBER(SEARCH("Episode",A560:A1163)),A560:A1163,"")</f>
        <v/>
      </c>
      <c r="M560" t="str">
        <f t="shared" si="8"/>
        <v/>
      </c>
      <c r="P560" t="e">
        <f>VLOOKUP(J560,A559:K1161,6,TRUE)</f>
        <v>#N/A</v>
      </c>
    </row>
    <row r="561" spans="1:16" x14ac:dyDescent="0.25">
      <c r="A561" t="s">
        <v>837</v>
      </c>
      <c r="B561" s="1">
        <v>43312</v>
      </c>
      <c r="C561" t="s">
        <v>108</v>
      </c>
      <c r="E561" t="s">
        <v>730</v>
      </c>
      <c r="F561" t="s">
        <v>838</v>
      </c>
      <c r="G561" t="s">
        <v>816</v>
      </c>
      <c r="H561" t="s">
        <v>12</v>
      </c>
      <c r="J561" t="str">
        <f>IF(ISNUMBER(SEARCH("Episode",A561:A1164)),A561:A1164,"")</f>
        <v>Episode 370 - Armageddon</v>
      </c>
      <c r="M561" t="str">
        <f t="shared" si="8"/>
        <v>Armageddon</v>
      </c>
      <c r="P561">
        <f>VLOOKUP(J561,A560:K1162,6,TRUE)</f>
        <v>0</v>
      </c>
    </row>
    <row r="562" spans="1:16" x14ac:dyDescent="0.25">
      <c r="A562" t="s">
        <v>839</v>
      </c>
      <c r="B562" s="1">
        <v>43314</v>
      </c>
      <c r="C562" t="s">
        <v>619</v>
      </c>
      <c r="E562" t="s">
        <v>730</v>
      </c>
      <c r="H562" t="s">
        <v>236</v>
      </c>
      <c r="J562" t="str">
        <f>IF(ISNUMBER(SEARCH("Episode",A562:A1165)),A562:A1165,"")</f>
        <v/>
      </c>
      <c r="M562" t="str">
        <f t="shared" si="8"/>
        <v/>
      </c>
      <c r="P562" t="e">
        <f>VLOOKUP(J562,A561:K1163,6,TRUE)</f>
        <v>#N/A</v>
      </c>
    </row>
    <row r="563" spans="1:16" x14ac:dyDescent="0.25">
      <c r="A563" t="s">
        <v>840</v>
      </c>
      <c r="B563" s="1">
        <v>43315</v>
      </c>
      <c r="C563" t="s">
        <v>619</v>
      </c>
      <c r="E563" t="s">
        <v>730</v>
      </c>
      <c r="H563" t="s">
        <v>369</v>
      </c>
      <c r="J563" t="str">
        <f>IF(ISNUMBER(SEARCH("Episode",A563:A1166)),A563:A1166,"")</f>
        <v/>
      </c>
      <c r="M563" t="str">
        <f t="shared" si="8"/>
        <v/>
      </c>
      <c r="P563" t="e">
        <f>VLOOKUP(J563,A562:K1164,6,TRUE)</f>
        <v>#N/A</v>
      </c>
    </row>
    <row r="564" spans="1:16" x14ac:dyDescent="0.25">
      <c r="A564" t="s">
        <v>841</v>
      </c>
      <c r="B564" s="1">
        <v>43319</v>
      </c>
      <c r="C564" t="s">
        <v>108</v>
      </c>
      <c r="E564" t="s">
        <v>730</v>
      </c>
      <c r="F564" t="s">
        <v>842</v>
      </c>
      <c r="G564" t="s">
        <v>843</v>
      </c>
      <c r="H564" t="s">
        <v>12</v>
      </c>
      <c r="J564" t="str">
        <f>IF(ISNUMBER(SEARCH("Episode",A564:A1167)),A564:A1167,"")</f>
        <v>Episode 371 - The Emoji Movie (Live)</v>
      </c>
      <c r="M564" t="str">
        <f t="shared" si="8"/>
        <v>The Emoji Movie (Live)</v>
      </c>
      <c r="P564">
        <f>VLOOKUP(J564,A563:K1165,6,TRUE)</f>
        <v>0</v>
      </c>
    </row>
    <row r="565" spans="1:16" x14ac:dyDescent="0.25">
      <c r="A565" t="s">
        <v>844</v>
      </c>
      <c r="B565" s="1">
        <v>43326</v>
      </c>
      <c r="C565" t="s">
        <v>108</v>
      </c>
      <c r="E565" t="s">
        <v>730</v>
      </c>
      <c r="F565" t="s">
        <v>845</v>
      </c>
      <c r="G565" t="s">
        <v>846</v>
      </c>
      <c r="H565" t="s">
        <v>12</v>
      </c>
      <c r="J565" t="str">
        <f>IF(ISNUMBER(SEARCH("Episode",A565:A1168)),A565:A1168,"")</f>
        <v>Episode 372 - Jason X (Live)</v>
      </c>
      <c r="M565" t="str">
        <f t="shared" si="8"/>
        <v>Jason X (Live)</v>
      </c>
      <c r="P565">
        <f>VLOOKUP(J565,A564:K1166,6,TRUE)</f>
        <v>0</v>
      </c>
    </row>
    <row r="566" spans="1:16" x14ac:dyDescent="0.25">
      <c r="A566" t="s">
        <v>847</v>
      </c>
      <c r="B566" s="1">
        <v>43328</v>
      </c>
      <c r="C566" t="s">
        <v>619</v>
      </c>
      <c r="E566" t="s">
        <v>730</v>
      </c>
      <c r="F566" t="s">
        <v>848</v>
      </c>
      <c r="H566" t="s">
        <v>12</v>
      </c>
      <c r="J566" t="str">
        <f>IF(ISNUMBER(SEARCH("Episode",A566:A1169)),A566:A1169,"")</f>
        <v>Episode 373 - Friday the 13th Part VIII: Jason Takes Manhattan</v>
      </c>
      <c r="M566" t="str">
        <f t="shared" si="8"/>
        <v>Friday the 13th Part VIII: Jason Takes Manhattan</v>
      </c>
      <c r="P566">
        <f>VLOOKUP(J566,A565:K1167,6,TRUE)</f>
        <v>0</v>
      </c>
    </row>
    <row r="567" spans="1:16" x14ac:dyDescent="0.25">
      <c r="A567" t="s">
        <v>849</v>
      </c>
      <c r="B567" s="1">
        <v>43333</v>
      </c>
      <c r="C567" t="s">
        <v>108</v>
      </c>
      <c r="E567" t="s">
        <v>730</v>
      </c>
      <c r="F567" t="s">
        <v>850</v>
      </c>
      <c r="G567" t="s">
        <v>851</v>
      </c>
      <c r="H567" t="s">
        <v>12</v>
      </c>
      <c r="J567" t="str">
        <f>IF(ISNUMBER(SEARCH("Episode",A567:A1170)),A567:A1170,"")</f>
        <v>Episode 374 - Tank Girl (Live)</v>
      </c>
      <c r="M567" t="str">
        <f t="shared" si="8"/>
        <v>Tank Girl (Live)</v>
      </c>
      <c r="P567" t="str">
        <f>VLOOKUP(J567,A566:K1168,6,TRUE)</f>
        <v>Episode 59</v>
      </c>
    </row>
    <row r="568" spans="1:16" x14ac:dyDescent="0.25">
      <c r="A568" t="s">
        <v>852</v>
      </c>
      <c r="B568" s="1">
        <v>43336</v>
      </c>
      <c r="C568" t="s">
        <v>619</v>
      </c>
      <c r="E568" t="s">
        <v>730</v>
      </c>
      <c r="H568" t="s">
        <v>621</v>
      </c>
      <c r="J568" t="str">
        <f>IF(ISNUMBER(SEARCH("Episode",A568:A1171)),A568:A1171,"")</f>
        <v/>
      </c>
      <c r="M568" t="str">
        <f t="shared" si="8"/>
        <v/>
      </c>
      <c r="P568" t="e">
        <f>VLOOKUP(J568,A567:K1169,6,TRUE)</f>
        <v>#N/A</v>
      </c>
    </row>
    <row r="569" spans="1:16" x14ac:dyDescent="0.25">
      <c r="A569" t="s">
        <v>853</v>
      </c>
      <c r="B569" s="1">
        <v>43340</v>
      </c>
      <c r="C569" t="s">
        <v>108</v>
      </c>
      <c r="E569" t="s">
        <v>730</v>
      </c>
      <c r="F569" t="s">
        <v>854</v>
      </c>
      <c r="G569" t="s">
        <v>855</v>
      </c>
      <c r="H569" t="s">
        <v>12</v>
      </c>
      <c r="J569" t="str">
        <f>IF(ISNUMBER(SEARCH("Episode",A569:A1172)),A569:A1172,"")</f>
        <v>Episode 375 - Cobra (Live)</v>
      </c>
      <c r="M569" t="str">
        <f t="shared" si="8"/>
        <v>Cobra (Live)</v>
      </c>
      <c r="P569" t="str">
        <f>VLOOKUP(J569,A568:K1170,6,TRUE)</f>
        <v>Episode 60</v>
      </c>
    </row>
    <row r="570" spans="1:16" x14ac:dyDescent="0.25">
      <c r="A570" t="s">
        <v>856</v>
      </c>
      <c r="B570" s="1">
        <v>43347</v>
      </c>
      <c r="C570" t="s">
        <v>108</v>
      </c>
      <c r="E570" t="s">
        <v>857</v>
      </c>
      <c r="F570" t="s">
        <v>11</v>
      </c>
      <c r="H570" t="s">
        <v>12</v>
      </c>
      <c r="J570" t="str">
        <f>IF(ISNUMBER(SEARCH("Episode",A570:A1173)),A570:A1173,"")</f>
        <v>Episode 376 - The Flintstones</v>
      </c>
      <c r="M570" t="str">
        <f t="shared" si="8"/>
        <v>The Flintstones</v>
      </c>
      <c r="P570" t="str">
        <f>VLOOKUP(J570,A569:K1171,6,TRUE)</f>
        <v>Episode 1</v>
      </c>
    </row>
    <row r="571" spans="1:16" x14ac:dyDescent="0.25">
      <c r="A571" t="s">
        <v>858</v>
      </c>
      <c r="B571" s="1">
        <v>43351</v>
      </c>
      <c r="C571" t="s">
        <v>619</v>
      </c>
      <c r="E571" t="s">
        <v>857</v>
      </c>
      <c r="F571" t="s">
        <v>16</v>
      </c>
      <c r="H571" t="s">
        <v>12</v>
      </c>
      <c r="J571" t="str">
        <f>IF(ISNUMBER(SEARCH("Episode",A571:A1174)),A571:A1174,"")</f>
        <v>Episode 377 - Ready Player One</v>
      </c>
      <c r="M571" t="str">
        <f t="shared" si="8"/>
        <v>Ready Player One</v>
      </c>
      <c r="P571">
        <f>VLOOKUP(J571,A570:K1172,6,TRUE)</f>
        <v>0</v>
      </c>
    </row>
    <row r="572" spans="1:16" x14ac:dyDescent="0.25">
      <c r="A572" t="s">
        <v>859</v>
      </c>
      <c r="B572" s="1">
        <v>43354</v>
      </c>
      <c r="C572" t="s">
        <v>108</v>
      </c>
      <c r="E572" t="s">
        <v>857</v>
      </c>
      <c r="F572" t="s">
        <v>19</v>
      </c>
      <c r="H572" t="s">
        <v>12</v>
      </c>
      <c r="J572" t="str">
        <f>IF(ISNUMBER(SEARCH("Episode",A572:A1175)),A572:A1175,"")</f>
        <v>Episode 378 - Masterminds</v>
      </c>
      <c r="M572" t="str">
        <f t="shared" si="8"/>
        <v>Masterminds</v>
      </c>
      <c r="P572" t="str">
        <f>VLOOKUP(J572,A571:K1173,6,TRUE)</f>
        <v>Episode 3</v>
      </c>
    </row>
    <row r="573" spans="1:16" x14ac:dyDescent="0.25">
      <c r="A573" t="s">
        <v>860</v>
      </c>
      <c r="B573" s="1">
        <v>43357</v>
      </c>
      <c r="C573" t="s">
        <v>619</v>
      </c>
      <c r="E573" t="s">
        <v>857</v>
      </c>
      <c r="H573" t="s">
        <v>369</v>
      </c>
      <c r="J573" t="str">
        <f>IF(ISNUMBER(SEARCH("Episode",A573:A1176)),A573:A1176,"")</f>
        <v/>
      </c>
      <c r="M573" t="str">
        <f t="shared" si="8"/>
        <v/>
      </c>
      <c r="P573" t="e">
        <f>VLOOKUP(J573,A572:K1174,6,TRUE)</f>
        <v>#N/A</v>
      </c>
    </row>
    <row r="574" spans="1:16" x14ac:dyDescent="0.25">
      <c r="A574" t="s">
        <v>861</v>
      </c>
      <c r="B574" s="1">
        <v>43361</v>
      </c>
      <c r="C574" t="s">
        <v>108</v>
      </c>
      <c r="E574" t="s">
        <v>857</v>
      </c>
      <c r="F574" t="s">
        <v>22</v>
      </c>
      <c r="H574" t="s">
        <v>12</v>
      </c>
      <c r="J574" t="str">
        <f>IF(ISNUMBER(SEARCH("Episode",A574:A1177)),A574:A1177,"")</f>
        <v>Episode 379 - Aliens vs. Predator: Requiem</v>
      </c>
      <c r="M574" t="str">
        <f t="shared" si="8"/>
        <v>Aliens vs. Predator: Requiem</v>
      </c>
      <c r="P574" t="str">
        <f>VLOOKUP(J574,A573:K1175,6,TRUE)</f>
        <v>Episode 4</v>
      </c>
    </row>
    <row r="575" spans="1:16" x14ac:dyDescent="0.25">
      <c r="A575" t="s">
        <v>862</v>
      </c>
      <c r="B575" s="1">
        <v>43364</v>
      </c>
      <c r="C575" t="s">
        <v>619</v>
      </c>
      <c r="E575" t="s">
        <v>857</v>
      </c>
      <c r="H575" t="s">
        <v>621</v>
      </c>
      <c r="J575" t="str">
        <f>IF(ISNUMBER(SEARCH("Episode",A575:A1178)),A575:A1178,"")</f>
        <v/>
      </c>
      <c r="M575" t="str">
        <f t="shared" si="8"/>
        <v/>
      </c>
      <c r="P575" t="e">
        <f>VLOOKUP(J575,A574:K1176,6,TRUE)</f>
        <v>#N/A</v>
      </c>
    </row>
    <row r="576" spans="1:16" x14ac:dyDescent="0.25">
      <c r="A576" t="s">
        <v>863</v>
      </c>
      <c r="B576" s="1">
        <v>43368</v>
      </c>
      <c r="C576" t="s">
        <v>108</v>
      </c>
      <c r="E576" t="s">
        <v>857</v>
      </c>
      <c r="F576" t="s">
        <v>25</v>
      </c>
      <c r="H576" t="s">
        <v>12</v>
      </c>
      <c r="J576" t="str">
        <f>IF(ISNUMBER(SEARCH("Episode",A576:A1179)),A576:A1179,"")</f>
        <v>Episode 380 - The Stepford Wives (2004)</v>
      </c>
      <c r="M576" t="str">
        <f t="shared" si="8"/>
        <v>The Stepford Wives (2004)</v>
      </c>
      <c r="P576">
        <f>VLOOKUP(J576,A575:K1177,6,TRUE)</f>
        <v>0</v>
      </c>
    </row>
    <row r="577" spans="1:16" x14ac:dyDescent="0.25">
      <c r="A577" t="s">
        <v>864</v>
      </c>
      <c r="B577" s="1">
        <v>43372</v>
      </c>
      <c r="C577" t="s">
        <v>108</v>
      </c>
      <c r="E577" t="s">
        <v>857</v>
      </c>
      <c r="H577" t="s">
        <v>241</v>
      </c>
      <c r="J577" t="str">
        <f>IF(ISNUMBER(SEARCH("Episode",A577:A1180)),A577:A1180,"")</f>
        <v/>
      </c>
      <c r="M577" t="str">
        <f t="shared" si="8"/>
        <v/>
      </c>
      <c r="P577" t="e">
        <f>VLOOKUP(J577,A576:K1178,6,TRUE)</f>
        <v>#N/A</v>
      </c>
    </row>
    <row r="578" spans="1:16" x14ac:dyDescent="0.25">
      <c r="A578" t="s">
        <v>865</v>
      </c>
      <c r="B578" s="1">
        <v>43375</v>
      </c>
      <c r="C578" t="s">
        <v>108</v>
      </c>
      <c r="E578" t="s">
        <v>857</v>
      </c>
      <c r="F578" t="s">
        <v>28</v>
      </c>
      <c r="G578" t="s">
        <v>866</v>
      </c>
      <c r="H578" t="s">
        <v>12</v>
      </c>
      <c r="J578" t="str">
        <f>IF(ISNUMBER(SEARCH("Episode",A578:A1181)),A578:A1181,"")</f>
        <v>Episode 381 - Hellraiser III: Hell on Earth</v>
      </c>
      <c r="M578" t="str">
        <f t="shared" si="8"/>
        <v>Hellraiser III: Hell on Earth</v>
      </c>
      <c r="P578">
        <f>VLOOKUP(J578,A577:K1179,6,TRUE)</f>
        <v>0</v>
      </c>
    </row>
    <row r="579" spans="1:16" x14ac:dyDescent="0.25">
      <c r="A579" t="s">
        <v>867</v>
      </c>
      <c r="B579" s="1">
        <v>43382</v>
      </c>
      <c r="C579" t="s">
        <v>108</v>
      </c>
      <c r="E579" t="s">
        <v>857</v>
      </c>
      <c r="F579" t="s">
        <v>31</v>
      </c>
      <c r="G579" t="s">
        <v>866</v>
      </c>
      <c r="H579" t="s">
        <v>12</v>
      </c>
      <c r="J579" t="str">
        <f>IF(ISNUMBER(SEARCH("Episode",A579:A1182)),A579:A1182,"")</f>
        <v>Episode 382 - Man's Best Friend</v>
      </c>
      <c r="M579" t="str">
        <f t="shared" ref="M579:M601" si="9">REPLACE(J579,1,14,"")</f>
        <v>Man's Best Friend</v>
      </c>
      <c r="P579" t="str">
        <f>VLOOKUP(J579,A578:K1180,6,TRUE)</f>
        <v>Episode 7</v>
      </c>
    </row>
    <row r="580" spans="1:16" x14ac:dyDescent="0.25">
      <c r="A580" t="s">
        <v>868</v>
      </c>
      <c r="B580" s="1">
        <v>43383</v>
      </c>
      <c r="C580" t="s">
        <v>619</v>
      </c>
      <c r="E580" t="s">
        <v>857</v>
      </c>
      <c r="G580" t="s">
        <v>866</v>
      </c>
      <c r="H580" t="s">
        <v>369</v>
      </c>
      <c r="J580" t="str">
        <f>IF(ISNUMBER(SEARCH("Episode",A580:A1183)),A580:A1183,"")</f>
        <v/>
      </c>
      <c r="M580" t="str">
        <f t="shared" si="9"/>
        <v/>
      </c>
      <c r="P580" t="e">
        <f>VLOOKUP(J580,A579:K1181,6,TRUE)</f>
        <v>#N/A</v>
      </c>
    </row>
    <row r="581" spans="1:16" x14ac:dyDescent="0.25">
      <c r="A581" t="s">
        <v>869</v>
      </c>
      <c r="B581" s="1">
        <v>43386</v>
      </c>
      <c r="C581" t="s">
        <v>108</v>
      </c>
      <c r="E581" t="s">
        <v>857</v>
      </c>
      <c r="G581" t="s">
        <v>870</v>
      </c>
      <c r="H581" t="s">
        <v>82</v>
      </c>
      <c r="J581" t="str">
        <f>IF(ISNUMBER(SEARCH("Episode",A581:A1184)),A581:A1184,"")</f>
        <v/>
      </c>
      <c r="M581" t="str">
        <f t="shared" si="9"/>
        <v/>
      </c>
      <c r="P581" t="e">
        <f>VLOOKUP(J581,A580:K1182,6,TRUE)</f>
        <v>#N/A</v>
      </c>
    </row>
    <row r="582" spans="1:16" x14ac:dyDescent="0.25">
      <c r="A582" t="s">
        <v>871</v>
      </c>
      <c r="B582" s="1">
        <v>43389</v>
      </c>
      <c r="C582" t="s">
        <v>108</v>
      </c>
      <c r="E582" t="s">
        <v>857</v>
      </c>
      <c r="F582" t="s">
        <v>37</v>
      </c>
      <c r="G582" t="s">
        <v>866</v>
      </c>
      <c r="H582" t="s">
        <v>12</v>
      </c>
      <c r="J582" t="str">
        <f>IF(ISNUMBER(SEARCH("Episode",A582:A1185)),A582:A1185,"")</f>
        <v>Episode 383 - Halloween: Resurrection</v>
      </c>
      <c r="M582" t="str">
        <f t="shared" si="9"/>
        <v>Halloween: Resurrection</v>
      </c>
      <c r="P582" t="str">
        <f>VLOOKUP(J582,A581:K1183,6,TRUE)</f>
        <v>Episode 8</v>
      </c>
    </row>
    <row r="583" spans="1:16" x14ac:dyDescent="0.25">
      <c r="A583" t="s">
        <v>872</v>
      </c>
      <c r="B583" s="1">
        <v>43391</v>
      </c>
      <c r="C583" t="s">
        <v>619</v>
      </c>
      <c r="E583" t="s">
        <v>857</v>
      </c>
      <c r="F583" t="s">
        <v>40</v>
      </c>
      <c r="G583" t="s">
        <v>866</v>
      </c>
      <c r="H583" t="s">
        <v>12</v>
      </c>
      <c r="J583" t="str">
        <f>IF(ISNUMBER(SEARCH("Episode",A583:A1186)),A583:A1186,"")</f>
        <v>Episode 384 - Van Helsing</v>
      </c>
      <c r="M583" t="str">
        <f t="shared" si="9"/>
        <v>Van Helsing</v>
      </c>
      <c r="P583" t="str">
        <f>VLOOKUP(J583,A582:K1184,6,TRUE)</f>
        <v>Episode 9</v>
      </c>
    </row>
    <row r="584" spans="1:16" x14ac:dyDescent="0.25">
      <c r="A584" t="s">
        <v>873</v>
      </c>
      <c r="B584" s="1">
        <v>43396</v>
      </c>
      <c r="C584" t="s">
        <v>108</v>
      </c>
      <c r="E584" t="s">
        <v>857</v>
      </c>
      <c r="F584" t="s">
        <v>43</v>
      </c>
      <c r="G584" t="s">
        <v>866</v>
      </c>
      <c r="H584" t="s">
        <v>12</v>
      </c>
      <c r="J584" t="str">
        <f>IF(ISNUMBER(SEARCH("Episode",A584:A1187)),A584:A1187,"")</f>
        <v>Episode 385 - Urban Legend</v>
      </c>
      <c r="M584" t="str">
        <f t="shared" si="9"/>
        <v>Urban Legend</v>
      </c>
      <c r="P584">
        <f>VLOOKUP(J584,A583:K1185,6,TRUE)</f>
        <v>0</v>
      </c>
    </row>
    <row r="585" spans="1:16" x14ac:dyDescent="0.25">
      <c r="A585" t="s">
        <v>874</v>
      </c>
      <c r="B585" s="1">
        <v>43399</v>
      </c>
      <c r="C585" t="s">
        <v>619</v>
      </c>
      <c r="E585" t="s">
        <v>857</v>
      </c>
      <c r="H585" t="s">
        <v>621</v>
      </c>
      <c r="J585" t="str">
        <f>IF(ISNUMBER(SEARCH("Episode",A585:A1188)),A585:A1188,"")</f>
        <v/>
      </c>
      <c r="M585" t="str">
        <f t="shared" si="9"/>
        <v/>
      </c>
      <c r="P585" t="e">
        <f>VLOOKUP(J585,A584:K1186,6,TRUE)</f>
        <v>#N/A</v>
      </c>
    </row>
    <row r="586" spans="1:16" x14ac:dyDescent="0.25">
      <c r="A586" t="s">
        <v>875</v>
      </c>
      <c r="B586" s="1">
        <v>43401</v>
      </c>
      <c r="C586" t="s">
        <v>108</v>
      </c>
      <c r="E586" t="s">
        <v>857</v>
      </c>
      <c r="H586" t="s">
        <v>241</v>
      </c>
      <c r="J586" t="str">
        <f>IF(ISNUMBER(SEARCH("Episode",A586:A1189)),A586:A1189,"")</f>
        <v/>
      </c>
      <c r="M586" t="str">
        <f t="shared" si="9"/>
        <v/>
      </c>
      <c r="P586" t="e">
        <f>VLOOKUP(J586,A585:K1187,6,TRUE)</f>
        <v>#N/A</v>
      </c>
    </row>
    <row r="587" spans="1:16" x14ac:dyDescent="0.25">
      <c r="A587" t="s">
        <v>876</v>
      </c>
      <c r="B587" s="1">
        <v>43403</v>
      </c>
      <c r="C587" t="s">
        <v>108</v>
      </c>
      <c r="E587" t="s">
        <v>857</v>
      </c>
      <c r="F587" t="s">
        <v>46</v>
      </c>
      <c r="G587" t="s">
        <v>866</v>
      </c>
      <c r="H587" t="s">
        <v>12</v>
      </c>
      <c r="J587" t="str">
        <f>IF(ISNUMBER(SEARCH("Episode",A587:A1190)),A587:A1190,"")</f>
        <v>Episode 386 - Wishmaster</v>
      </c>
      <c r="M587" t="str">
        <f t="shared" si="9"/>
        <v>Wishmaster</v>
      </c>
      <c r="P587" t="str">
        <f>VLOOKUP(J587,A586:K1188,6,TRUE)</f>
        <v>Episode 11</v>
      </c>
    </row>
    <row r="588" spans="1:16" x14ac:dyDescent="0.25">
      <c r="A588" t="s">
        <v>877</v>
      </c>
      <c r="B588" s="1">
        <v>43404</v>
      </c>
      <c r="C588" t="s">
        <v>619</v>
      </c>
      <c r="E588" t="s">
        <v>857</v>
      </c>
      <c r="G588" t="s">
        <v>866</v>
      </c>
      <c r="H588" t="s">
        <v>236</v>
      </c>
      <c r="J588" t="str">
        <f>IF(ISNUMBER(SEARCH("Episode",A588:A1191)),A588:A1191,"")</f>
        <v/>
      </c>
      <c r="M588" t="str">
        <f t="shared" si="9"/>
        <v/>
      </c>
      <c r="P588" t="e">
        <f>VLOOKUP(J588,A587:K1189,6,TRUE)</f>
        <v>#N/A</v>
      </c>
    </row>
    <row r="589" spans="1:16" x14ac:dyDescent="0.25">
      <c r="A589" t="s">
        <v>878</v>
      </c>
      <c r="B589" s="1">
        <v>43410</v>
      </c>
      <c r="C589" t="s">
        <v>108</v>
      </c>
      <c r="E589" t="s">
        <v>857</v>
      </c>
      <c r="F589" t="s">
        <v>49</v>
      </c>
      <c r="H589" t="s">
        <v>12</v>
      </c>
      <c r="J589" t="str">
        <f>IF(ISNUMBER(SEARCH("Episode",A589:A1192)),A589:A1192,"")</f>
        <v>Episode 387 - The Cat in the Hat</v>
      </c>
      <c r="M589" t="str">
        <f t="shared" si="9"/>
        <v>The Cat in the Hat</v>
      </c>
      <c r="P589" t="str">
        <f>VLOOKUP(J589,A588:K1190,6,TRUE)</f>
        <v>Episode 12</v>
      </c>
    </row>
    <row r="590" spans="1:16" x14ac:dyDescent="0.25">
      <c r="A590" t="s">
        <v>879</v>
      </c>
      <c r="B590" s="1">
        <v>43412</v>
      </c>
      <c r="C590" t="s">
        <v>619</v>
      </c>
      <c r="E590" t="s">
        <v>857</v>
      </c>
      <c r="F590" t="s">
        <v>52</v>
      </c>
      <c r="H590" t="s">
        <v>12</v>
      </c>
      <c r="J590" t="str">
        <f>IF(ISNUMBER(SEARCH("Episode",A590:A1193)),A590:A1193,"")</f>
        <v>Episode 388 - How the Grinch Stole Christmas</v>
      </c>
      <c r="M590" t="str">
        <f t="shared" si="9"/>
        <v>How the Grinch Stole Christmas</v>
      </c>
      <c r="P590">
        <f>VLOOKUP(J590,A589:K1191,6,TRUE)</f>
        <v>0</v>
      </c>
    </row>
    <row r="591" spans="1:16" x14ac:dyDescent="0.25">
      <c r="A591" t="s">
        <v>880</v>
      </c>
      <c r="B591" s="1">
        <v>43417</v>
      </c>
      <c r="C591" t="s">
        <v>108</v>
      </c>
      <c r="E591" t="s">
        <v>857</v>
      </c>
      <c r="F591" t="s">
        <v>56</v>
      </c>
      <c r="H591" t="s">
        <v>12</v>
      </c>
      <c r="J591" t="str">
        <f>IF(ISNUMBER(SEARCH("Episode",A591:A1194)),A591:A1194,"")</f>
        <v>Episode 389 - The One</v>
      </c>
      <c r="M591" t="str">
        <f t="shared" si="9"/>
        <v>The One</v>
      </c>
      <c r="P591" t="str">
        <f>VLOOKUP(J591,A590:K1192,6,TRUE)</f>
        <v>Episode 14</v>
      </c>
    </row>
    <row r="592" spans="1:16" x14ac:dyDescent="0.25">
      <c r="A592" t="s">
        <v>881</v>
      </c>
      <c r="B592" s="1">
        <v>43419</v>
      </c>
      <c r="C592" t="s">
        <v>619</v>
      </c>
      <c r="E592" t="s">
        <v>857</v>
      </c>
      <c r="H592" t="s">
        <v>369</v>
      </c>
      <c r="J592" t="str">
        <f>IF(ISNUMBER(SEARCH("Episode",A592:A1195)),A592:A1195,"")</f>
        <v/>
      </c>
      <c r="M592" t="str">
        <f t="shared" si="9"/>
        <v/>
      </c>
      <c r="P592" t="e">
        <f>VLOOKUP(J592,A591:K1193,6,TRUE)</f>
        <v>#N/A</v>
      </c>
    </row>
    <row r="593" spans="1:16" x14ac:dyDescent="0.25">
      <c r="A593" t="s">
        <v>882</v>
      </c>
      <c r="B593" s="1">
        <v>43423</v>
      </c>
      <c r="C593" t="s">
        <v>619</v>
      </c>
      <c r="E593" t="s">
        <v>857</v>
      </c>
      <c r="H593" t="s">
        <v>621</v>
      </c>
      <c r="J593" t="str">
        <f>IF(ISNUMBER(SEARCH("Episode",A593:A1196)),A593:A1196,"")</f>
        <v/>
      </c>
      <c r="M593" t="str">
        <f t="shared" si="9"/>
        <v/>
      </c>
      <c r="P593" t="e">
        <f>VLOOKUP(J593,A592:K1194,6,TRUE)</f>
        <v>#N/A</v>
      </c>
    </row>
    <row r="594" spans="1:16" x14ac:dyDescent="0.25">
      <c r="A594" t="s">
        <v>883</v>
      </c>
      <c r="B594" s="1">
        <v>43424</v>
      </c>
      <c r="C594" t="s">
        <v>108</v>
      </c>
      <c r="E594" t="s">
        <v>857</v>
      </c>
      <c r="F594" t="s">
        <v>59</v>
      </c>
      <c r="H594" t="s">
        <v>12</v>
      </c>
      <c r="J594" t="str">
        <f>IF(ISNUMBER(SEARCH("Episode",A594:A1197)),A594:A1197,"")</f>
        <v>Episode 390 - Robin Hood: Prince of Thieves</v>
      </c>
      <c r="M594" t="str">
        <f t="shared" si="9"/>
        <v>Robin Hood: Prince of Thieves</v>
      </c>
      <c r="P594" t="str">
        <f>VLOOKUP(J594,A593:K1195,6,TRUE)</f>
        <v>Episode 15</v>
      </c>
    </row>
    <row r="595" spans="1:16" x14ac:dyDescent="0.25">
      <c r="A595" t="s">
        <v>884</v>
      </c>
      <c r="B595" s="1">
        <v>43431</v>
      </c>
      <c r="C595" t="s">
        <v>108</v>
      </c>
      <c r="E595" t="s">
        <v>857</v>
      </c>
      <c r="F595" t="s">
        <v>65</v>
      </c>
      <c r="H595" t="s">
        <v>12</v>
      </c>
      <c r="J595" t="str">
        <f>IF(ISNUMBER(SEARCH("Episode",A595:A1198)),A595:A1198,"")</f>
        <v>Episode 391 - RiÂ¢hie RiÂ¢h</v>
      </c>
      <c r="M595" t="str">
        <f t="shared" si="9"/>
        <v>RiÂ¢hie RiÂ¢h</v>
      </c>
      <c r="P595" t="str">
        <f>VLOOKUP(J595,A594:K1196,6,TRUE)</f>
        <v>Episode 16</v>
      </c>
    </row>
    <row r="596" spans="1:16" x14ac:dyDescent="0.25">
      <c r="A596" t="s">
        <v>885</v>
      </c>
      <c r="B596" s="1">
        <v>43433</v>
      </c>
      <c r="C596" t="s">
        <v>108</v>
      </c>
      <c r="E596" t="s">
        <v>857</v>
      </c>
      <c r="H596" t="s">
        <v>241</v>
      </c>
      <c r="J596" t="str">
        <f>IF(ISNUMBER(SEARCH("Episode",A596:A1199)),A596:A1199,"")</f>
        <v/>
      </c>
      <c r="M596" t="str">
        <f t="shared" si="9"/>
        <v/>
      </c>
      <c r="P596" t="e">
        <f>VLOOKUP(J596,A595:K1197,6,TRUE)</f>
        <v>#N/A</v>
      </c>
    </row>
    <row r="597" spans="1:16" x14ac:dyDescent="0.25">
      <c r="A597" t="s">
        <v>886</v>
      </c>
      <c r="B597" s="1">
        <v>43438</v>
      </c>
      <c r="C597" t="s">
        <v>108</v>
      </c>
      <c r="E597" t="s">
        <v>857</v>
      </c>
      <c r="F597" t="s">
        <v>68</v>
      </c>
      <c r="G597" t="s">
        <v>887</v>
      </c>
      <c r="H597" t="s">
        <v>12</v>
      </c>
      <c r="J597" t="str">
        <f>IF(ISNUMBER(SEARCH("Episode",A597:A1200)),A597:A1200,"")</f>
        <v>Episode 392 - Terminator 2: Judgment Day</v>
      </c>
      <c r="M597" t="str">
        <f t="shared" si="9"/>
        <v>Terminator 2: Judgment Day</v>
      </c>
      <c r="P597" t="str">
        <f>VLOOKUP(J597,A596:K1198,6,TRUE)</f>
        <v>Episode 17</v>
      </c>
    </row>
    <row r="598" spans="1:16" x14ac:dyDescent="0.25">
      <c r="A598" t="s">
        <v>888</v>
      </c>
      <c r="B598" s="1">
        <v>43441</v>
      </c>
      <c r="C598" t="s">
        <v>619</v>
      </c>
      <c r="E598" t="s">
        <v>857</v>
      </c>
      <c r="F598" t="s">
        <v>71</v>
      </c>
      <c r="G598" t="s">
        <v>887</v>
      </c>
      <c r="H598" t="s">
        <v>12</v>
      </c>
      <c r="J598" t="str">
        <f>IF(ISNUMBER(SEARCH("Episode",A598:A1201)),A598:A1201,"")</f>
        <v>Episode 393 - Star Wars</v>
      </c>
      <c r="M598" t="str">
        <f t="shared" si="9"/>
        <v>Star Wars</v>
      </c>
      <c r="P598">
        <f>VLOOKUP(J598,A597:K1199,6,TRUE)</f>
        <v>0</v>
      </c>
    </row>
    <row r="599" spans="1:16" x14ac:dyDescent="0.25">
      <c r="A599" t="s">
        <v>889</v>
      </c>
      <c r="B599" s="1">
        <v>43445</v>
      </c>
      <c r="C599" t="s">
        <v>108</v>
      </c>
      <c r="E599" t="s">
        <v>857</v>
      </c>
      <c r="F599" t="s">
        <v>74</v>
      </c>
      <c r="G599" t="s">
        <v>887</v>
      </c>
      <c r="H599" t="s">
        <v>12</v>
      </c>
      <c r="J599" t="str">
        <f>IF(ISNUMBER(SEARCH("Episode",A599:A1202)),A599:A1202,"")</f>
        <v>Episode 394 - Back To The Future</v>
      </c>
      <c r="M599" t="str">
        <f t="shared" si="9"/>
        <v>Back To The Future</v>
      </c>
      <c r="P599" t="str">
        <f>VLOOKUP(J599,A598:K1200,6,TRUE)</f>
        <v>Episode 19</v>
      </c>
    </row>
    <row r="600" spans="1:16" x14ac:dyDescent="0.25">
      <c r="A600" t="s">
        <v>890</v>
      </c>
      <c r="B600" s="1">
        <v>43448</v>
      </c>
      <c r="C600" t="s">
        <v>619</v>
      </c>
      <c r="E600" t="s">
        <v>857</v>
      </c>
      <c r="G600" t="s">
        <v>887</v>
      </c>
      <c r="H600" t="s">
        <v>369</v>
      </c>
      <c r="J600" t="str">
        <f>IF(ISNUMBER(SEARCH("Episode",A600:A1203)),A600:A1203,"")</f>
        <v/>
      </c>
      <c r="M600" t="str">
        <f t="shared" si="9"/>
        <v/>
      </c>
      <c r="P600" t="e">
        <f>VLOOKUP(J600,A599:K1201,6,TRUE)</f>
        <v>#N/A</v>
      </c>
    </row>
    <row r="601" spans="1:16" x14ac:dyDescent="0.25">
      <c r="A601" t="s">
        <v>891</v>
      </c>
      <c r="B601" s="1">
        <v>43452</v>
      </c>
      <c r="C601" t="s">
        <v>108</v>
      </c>
      <c r="E601" t="s">
        <v>857</v>
      </c>
      <c r="F601" t="s">
        <v>79</v>
      </c>
      <c r="G601" t="s">
        <v>887</v>
      </c>
      <c r="H601" t="s">
        <v>12</v>
      </c>
      <c r="J601" t="str">
        <f>IF(ISNUMBER(SEARCH("Episode",A601:A1204)),A601:A1204,"")</f>
        <v>Episode 395 - It's A Wonderful Life</v>
      </c>
      <c r="M601" t="str">
        <f t="shared" si="9"/>
        <v>It's A Wonderful Life</v>
      </c>
      <c r="P601" t="str">
        <f>VLOOKUP(J601,A600:K1202,6,TRUE)</f>
        <v>Episode 20</v>
      </c>
    </row>
    <row r="602" spans="1:16" x14ac:dyDescent="0.25">
      <c r="A602" t="s">
        <v>892</v>
      </c>
      <c r="B602" s="1">
        <v>43454</v>
      </c>
      <c r="C602" t="s">
        <v>619</v>
      </c>
      <c r="E602" t="s">
        <v>857</v>
      </c>
      <c r="G602" t="s">
        <v>887</v>
      </c>
      <c r="H602" t="s">
        <v>621</v>
      </c>
      <c r="J602" t="str">
        <f>IF(ISNUMBER(SEARCH("Episode",A602:A1205)),A602:A1205,"")</f>
        <v/>
      </c>
      <c r="P602" t="e">
        <f>VLOOKUP(J602,A601:K1203,6,TRUE)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C384-2964-45AC-8C16-01B2456FBD40}">
  <dimension ref="B1:B395"/>
  <sheetViews>
    <sheetView workbookViewId="0">
      <selection activeCell="B395" sqref="B1:B395"/>
    </sheetView>
  </sheetViews>
  <sheetFormatPr defaultRowHeight="15" x14ac:dyDescent="0.25"/>
  <cols>
    <col min="3" max="3" width="13.85546875" bestFit="1" customWidth="1"/>
  </cols>
  <sheetData>
    <row r="1" spans="2:2" x14ac:dyDescent="0.25">
      <c r="B1" t="s">
        <v>1290</v>
      </c>
    </row>
    <row r="2" spans="2:2" x14ac:dyDescent="0.25">
      <c r="B2" t="s">
        <v>1291</v>
      </c>
    </row>
    <row r="3" spans="2:2" x14ac:dyDescent="0.25">
      <c r="B3" t="s">
        <v>1292</v>
      </c>
    </row>
    <row r="4" spans="2:2" x14ac:dyDescent="0.25">
      <c r="B4" t="s">
        <v>1293</v>
      </c>
    </row>
    <row r="5" spans="2:2" x14ac:dyDescent="0.25">
      <c r="B5" t="s">
        <v>1294</v>
      </c>
    </row>
    <row r="6" spans="2:2" x14ac:dyDescent="0.25">
      <c r="B6" t="s">
        <v>1295</v>
      </c>
    </row>
    <row r="7" spans="2:2" x14ac:dyDescent="0.25">
      <c r="B7" t="s">
        <v>1296</v>
      </c>
    </row>
    <row r="8" spans="2:2" x14ac:dyDescent="0.25">
      <c r="B8" t="s">
        <v>1297</v>
      </c>
    </row>
    <row r="9" spans="2:2" x14ac:dyDescent="0.25">
      <c r="B9" t="s">
        <v>1298</v>
      </c>
    </row>
    <row r="10" spans="2:2" x14ac:dyDescent="0.25">
      <c r="B10" t="s">
        <v>1299</v>
      </c>
    </row>
    <row r="11" spans="2:2" x14ac:dyDescent="0.25">
      <c r="B11" t="s">
        <v>1300</v>
      </c>
    </row>
    <row r="12" spans="2:2" x14ac:dyDescent="0.25">
      <c r="B12" t="s">
        <v>1301</v>
      </c>
    </row>
    <row r="13" spans="2:2" x14ac:dyDescent="0.25">
      <c r="B13" t="s">
        <v>1302</v>
      </c>
    </row>
    <row r="14" spans="2:2" x14ac:dyDescent="0.25">
      <c r="B14" t="s">
        <v>1303</v>
      </c>
    </row>
    <row r="15" spans="2:2" x14ac:dyDescent="0.25">
      <c r="B15" t="s">
        <v>1304</v>
      </c>
    </row>
    <row r="16" spans="2:2" x14ac:dyDescent="0.25">
      <c r="B16" t="s">
        <v>1305</v>
      </c>
    </row>
    <row r="17" spans="2:2" x14ac:dyDescent="0.25">
      <c r="B17" t="s">
        <v>1306</v>
      </c>
    </row>
    <row r="18" spans="2:2" x14ac:dyDescent="0.25">
      <c r="B18" t="s">
        <v>1307</v>
      </c>
    </row>
    <row r="19" spans="2:2" x14ac:dyDescent="0.25">
      <c r="B19" t="s">
        <v>1308</v>
      </c>
    </row>
    <row r="20" spans="2:2" x14ac:dyDescent="0.25">
      <c r="B20" t="s">
        <v>1309</v>
      </c>
    </row>
    <row r="21" spans="2:2" x14ac:dyDescent="0.25">
      <c r="B21" t="s">
        <v>1310</v>
      </c>
    </row>
    <row r="22" spans="2:2" x14ac:dyDescent="0.25">
      <c r="B22" t="s">
        <v>1311</v>
      </c>
    </row>
    <row r="23" spans="2:2" x14ac:dyDescent="0.25">
      <c r="B23" t="s">
        <v>1312</v>
      </c>
    </row>
    <row r="24" spans="2:2" x14ac:dyDescent="0.25">
      <c r="B24" t="s">
        <v>1313</v>
      </c>
    </row>
    <row r="25" spans="2:2" x14ac:dyDescent="0.25">
      <c r="B25" t="s">
        <v>1314</v>
      </c>
    </row>
    <row r="26" spans="2:2" x14ac:dyDescent="0.25">
      <c r="B26" t="s">
        <v>1315</v>
      </c>
    </row>
    <row r="27" spans="2:2" x14ac:dyDescent="0.25">
      <c r="B27" t="s">
        <v>1316</v>
      </c>
    </row>
    <row r="28" spans="2:2" x14ac:dyDescent="0.25">
      <c r="B28" t="s">
        <v>1317</v>
      </c>
    </row>
    <row r="29" spans="2:2" x14ac:dyDescent="0.25">
      <c r="B29" t="s">
        <v>1318</v>
      </c>
    </row>
    <row r="30" spans="2:2" x14ac:dyDescent="0.25">
      <c r="B30" t="s">
        <v>1319</v>
      </c>
    </row>
    <row r="31" spans="2:2" x14ac:dyDescent="0.25">
      <c r="B31" t="s">
        <v>1320</v>
      </c>
    </row>
    <row r="32" spans="2:2" x14ac:dyDescent="0.25">
      <c r="B32" t="s">
        <v>1321</v>
      </c>
    </row>
    <row r="33" spans="2:2" x14ac:dyDescent="0.25">
      <c r="B33" t="s">
        <v>1322</v>
      </c>
    </row>
    <row r="34" spans="2:2" x14ac:dyDescent="0.25">
      <c r="B34" t="s">
        <v>1323</v>
      </c>
    </row>
    <row r="35" spans="2:2" x14ac:dyDescent="0.25">
      <c r="B35" t="s">
        <v>1324</v>
      </c>
    </row>
    <row r="36" spans="2:2" x14ac:dyDescent="0.25">
      <c r="B36" t="s">
        <v>1325</v>
      </c>
    </row>
    <row r="37" spans="2:2" x14ac:dyDescent="0.25">
      <c r="B37" t="s">
        <v>1326</v>
      </c>
    </row>
    <row r="38" spans="2:2" x14ac:dyDescent="0.25">
      <c r="B38" t="s">
        <v>1327</v>
      </c>
    </row>
    <row r="39" spans="2:2" x14ac:dyDescent="0.25">
      <c r="B39" t="s">
        <v>1328</v>
      </c>
    </row>
    <row r="40" spans="2:2" x14ac:dyDescent="0.25">
      <c r="B40" t="s">
        <v>1329</v>
      </c>
    </row>
    <row r="41" spans="2:2" x14ac:dyDescent="0.25">
      <c r="B41" t="s">
        <v>1330</v>
      </c>
    </row>
    <row r="42" spans="2:2" x14ac:dyDescent="0.25">
      <c r="B42" t="s">
        <v>1331</v>
      </c>
    </row>
    <row r="43" spans="2:2" x14ac:dyDescent="0.25">
      <c r="B43" t="s">
        <v>1332</v>
      </c>
    </row>
    <row r="44" spans="2:2" x14ac:dyDescent="0.25">
      <c r="B44" t="s">
        <v>1333</v>
      </c>
    </row>
    <row r="45" spans="2:2" x14ac:dyDescent="0.25">
      <c r="B45" t="s">
        <v>1334</v>
      </c>
    </row>
    <row r="46" spans="2:2" x14ac:dyDescent="0.25">
      <c r="B46" t="s">
        <v>1335</v>
      </c>
    </row>
    <row r="47" spans="2:2" x14ac:dyDescent="0.25">
      <c r="B47" t="s">
        <v>1336</v>
      </c>
    </row>
    <row r="48" spans="2:2" x14ac:dyDescent="0.25">
      <c r="B48" t="s">
        <v>1337</v>
      </c>
    </row>
    <row r="49" spans="2:2" x14ac:dyDescent="0.25">
      <c r="B49" t="s">
        <v>1338</v>
      </c>
    </row>
    <row r="50" spans="2:2" x14ac:dyDescent="0.25">
      <c r="B50" t="s">
        <v>1339</v>
      </c>
    </row>
    <row r="51" spans="2:2" x14ac:dyDescent="0.25">
      <c r="B51" t="s">
        <v>1340</v>
      </c>
    </row>
    <row r="52" spans="2:2" x14ac:dyDescent="0.25">
      <c r="B52" t="s">
        <v>1341</v>
      </c>
    </row>
    <row r="53" spans="2:2" x14ac:dyDescent="0.25">
      <c r="B53" t="s">
        <v>1342</v>
      </c>
    </row>
    <row r="54" spans="2:2" x14ac:dyDescent="0.25">
      <c r="B54" t="s">
        <v>1343</v>
      </c>
    </row>
    <row r="55" spans="2:2" x14ac:dyDescent="0.25">
      <c r="B55" t="s">
        <v>1344</v>
      </c>
    </row>
    <row r="56" spans="2:2" x14ac:dyDescent="0.25">
      <c r="B56" t="s">
        <v>1345</v>
      </c>
    </row>
    <row r="57" spans="2:2" x14ac:dyDescent="0.25">
      <c r="B57" t="s">
        <v>1346</v>
      </c>
    </row>
    <row r="58" spans="2:2" x14ac:dyDescent="0.25">
      <c r="B58" t="s">
        <v>1347</v>
      </c>
    </row>
    <row r="59" spans="2:2" x14ac:dyDescent="0.25">
      <c r="B59" t="s">
        <v>1348</v>
      </c>
    </row>
    <row r="60" spans="2:2" x14ac:dyDescent="0.25">
      <c r="B60" t="s">
        <v>1349</v>
      </c>
    </row>
    <row r="61" spans="2:2" x14ac:dyDescent="0.25">
      <c r="B61" t="s">
        <v>1350</v>
      </c>
    </row>
    <row r="62" spans="2:2" x14ac:dyDescent="0.25">
      <c r="B62" t="s">
        <v>1351</v>
      </c>
    </row>
    <row r="63" spans="2:2" x14ac:dyDescent="0.25">
      <c r="B63" t="s">
        <v>1352</v>
      </c>
    </row>
    <row r="64" spans="2:2" x14ac:dyDescent="0.25">
      <c r="B64" t="s">
        <v>1353</v>
      </c>
    </row>
    <row r="65" spans="2:2" x14ac:dyDescent="0.25">
      <c r="B65" t="s">
        <v>1354</v>
      </c>
    </row>
    <row r="66" spans="2:2" x14ac:dyDescent="0.25">
      <c r="B66" t="s">
        <v>1355</v>
      </c>
    </row>
    <row r="67" spans="2:2" x14ac:dyDescent="0.25">
      <c r="B67" t="s">
        <v>1356</v>
      </c>
    </row>
    <row r="68" spans="2:2" x14ac:dyDescent="0.25">
      <c r="B68" t="s">
        <v>1357</v>
      </c>
    </row>
    <row r="69" spans="2:2" x14ac:dyDescent="0.25">
      <c r="B69" t="s">
        <v>1358</v>
      </c>
    </row>
    <row r="70" spans="2:2" x14ac:dyDescent="0.25">
      <c r="B70" t="s">
        <v>1359</v>
      </c>
    </row>
    <row r="71" spans="2:2" x14ac:dyDescent="0.25">
      <c r="B71" t="s">
        <v>1360</v>
      </c>
    </row>
    <row r="72" spans="2:2" x14ac:dyDescent="0.25">
      <c r="B72" t="s">
        <v>1361</v>
      </c>
    </row>
    <row r="73" spans="2:2" x14ac:dyDescent="0.25">
      <c r="B73" t="s">
        <v>1362</v>
      </c>
    </row>
    <row r="74" spans="2:2" x14ac:dyDescent="0.25">
      <c r="B74" t="s">
        <v>1363</v>
      </c>
    </row>
    <row r="75" spans="2:2" x14ac:dyDescent="0.25">
      <c r="B75" t="s">
        <v>1364</v>
      </c>
    </row>
    <row r="76" spans="2:2" x14ac:dyDescent="0.25">
      <c r="B76" t="s">
        <v>1365</v>
      </c>
    </row>
    <row r="77" spans="2:2" x14ac:dyDescent="0.25">
      <c r="B77" t="s">
        <v>1366</v>
      </c>
    </row>
    <row r="78" spans="2:2" x14ac:dyDescent="0.25">
      <c r="B78" t="s">
        <v>1367</v>
      </c>
    </row>
    <row r="79" spans="2:2" x14ac:dyDescent="0.25">
      <c r="B79" t="s">
        <v>1368</v>
      </c>
    </row>
    <row r="80" spans="2:2" x14ac:dyDescent="0.25">
      <c r="B80" t="s">
        <v>1369</v>
      </c>
    </row>
    <row r="81" spans="2:2" x14ac:dyDescent="0.25">
      <c r="B81" t="s">
        <v>1370</v>
      </c>
    </row>
    <row r="82" spans="2:2" x14ac:dyDescent="0.25">
      <c r="B82" t="s">
        <v>1371</v>
      </c>
    </row>
    <row r="83" spans="2:2" x14ac:dyDescent="0.25">
      <c r="B83" t="s">
        <v>1372</v>
      </c>
    </row>
    <row r="84" spans="2:2" x14ac:dyDescent="0.25">
      <c r="B84" t="s">
        <v>1373</v>
      </c>
    </row>
    <row r="85" spans="2:2" x14ac:dyDescent="0.25">
      <c r="B85" t="s">
        <v>1374</v>
      </c>
    </row>
    <row r="86" spans="2:2" x14ac:dyDescent="0.25">
      <c r="B86" t="s">
        <v>1375</v>
      </c>
    </row>
    <row r="87" spans="2:2" x14ac:dyDescent="0.25">
      <c r="B87" t="s">
        <v>1683</v>
      </c>
    </row>
    <row r="88" spans="2:2" x14ac:dyDescent="0.25">
      <c r="B88" t="s">
        <v>1376</v>
      </c>
    </row>
    <row r="89" spans="2:2" x14ac:dyDescent="0.25">
      <c r="B89" t="s">
        <v>1377</v>
      </c>
    </row>
    <row r="90" spans="2:2" x14ac:dyDescent="0.25">
      <c r="B90" t="s">
        <v>1378</v>
      </c>
    </row>
    <row r="91" spans="2:2" x14ac:dyDescent="0.25">
      <c r="B91" t="s">
        <v>1379</v>
      </c>
    </row>
    <row r="92" spans="2:2" x14ac:dyDescent="0.25">
      <c r="B92" t="s">
        <v>1380</v>
      </c>
    </row>
    <row r="93" spans="2:2" x14ac:dyDescent="0.25">
      <c r="B93" t="s">
        <v>1381</v>
      </c>
    </row>
    <row r="94" spans="2:2" x14ac:dyDescent="0.25">
      <c r="B94" t="s">
        <v>1382</v>
      </c>
    </row>
    <row r="95" spans="2:2" x14ac:dyDescent="0.25">
      <c r="B95" t="s">
        <v>1383</v>
      </c>
    </row>
    <row r="96" spans="2:2" x14ac:dyDescent="0.25">
      <c r="B96" t="s">
        <v>1384</v>
      </c>
    </row>
    <row r="97" spans="2:2" x14ac:dyDescent="0.25">
      <c r="B97" t="s">
        <v>1385</v>
      </c>
    </row>
    <row r="98" spans="2:2" x14ac:dyDescent="0.25">
      <c r="B98" t="s">
        <v>1386</v>
      </c>
    </row>
    <row r="99" spans="2:2" x14ac:dyDescent="0.25">
      <c r="B99" t="s">
        <v>1387</v>
      </c>
    </row>
    <row r="100" spans="2:2" x14ac:dyDescent="0.25">
      <c r="B100" t="s">
        <v>1388</v>
      </c>
    </row>
    <row r="101" spans="2:2" x14ac:dyDescent="0.25">
      <c r="B101" t="s">
        <v>1389</v>
      </c>
    </row>
    <row r="102" spans="2:2" x14ac:dyDescent="0.25">
      <c r="B102" t="s">
        <v>1390</v>
      </c>
    </row>
    <row r="103" spans="2:2" x14ac:dyDescent="0.25">
      <c r="B103" t="s">
        <v>1391</v>
      </c>
    </row>
    <row r="104" spans="2:2" x14ac:dyDescent="0.25">
      <c r="B104" t="s">
        <v>1392</v>
      </c>
    </row>
    <row r="105" spans="2:2" x14ac:dyDescent="0.25">
      <c r="B105" t="s">
        <v>1393</v>
      </c>
    </row>
    <row r="106" spans="2:2" x14ac:dyDescent="0.25">
      <c r="B106" t="s">
        <v>1394</v>
      </c>
    </row>
    <row r="107" spans="2:2" x14ac:dyDescent="0.25">
      <c r="B107" t="s">
        <v>1395</v>
      </c>
    </row>
    <row r="108" spans="2:2" x14ac:dyDescent="0.25">
      <c r="B108" t="s">
        <v>1396</v>
      </c>
    </row>
    <row r="109" spans="2:2" x14ac:dyDescent="0.25">
      <c r="B109" t="s">
        <v>1397</v>
      </c>
    </row>
    <row r="110" spans="2:2" x14ac:dyDescent="0.25">
      <c r="B110" t="s">
        <v>1398</v>
      </c>
    </row>
    <row r="111" spans="2:2" x14ac:dyDescent="0.25">
      <c r="B111" t="s">
        <v>1399</v>
      </c>
    </row>
    <row r="112" spans="2:2" x14ac:dyDescent="0.25">
      <c r="B112" t="s">
        <v>1400</v>
      </c>
    </row>
    <row r="113" spans="2:2" x14ac:dyDescent="0.25">
      <c r="B113" t="s">
        <v>1401</v>
      </c>
    </row>
    <row r="114" spans="2:2" x14ac:dyDescent="0.25">
      <c r="B114" t="s">
        <v>1402</v>
      </c>
    </row>
    <row r="115" spans="2:2" x14ac:dyDescent="0.25">
      <c r="B115" t="s">
        <v>1403</v>
      </c>
    </row>
    <row r="116" spans="2:2" x14ac:dyDescent="0.25">
      <c r="B116" t="s">
        <v>1404</v>
      </c>
    </row>
    <row r="117" spans="2:2" x14ac:dyDescent="0.25">
      <c r="B117" t="s">
        <v>1405</v>
      </c>
    </row>
    <row r="118" spans="2:2" x14ac:dyDescent="0.25">
      <c r="B118" t="s">
        <v>1406</v>
      </c>
    </row>
    <row r="119" spans="2:2" x14ac:dyDescent="0.25">
      <c r="B119" t="s">
        <v>1407</v>
      </c>
    </row>
    <row r="120" spans="2:2" x14ac:dyDescent="0.25">
      <c r="B120" t="s">
        <v>1408</v>
      </c>
    </row>
    <row r="121" spans="2:2" x14ac:dyDescent="0.25">
      <c r="B121" t="s">
        <v>1409</v>
      </c>
    </row>
    <row r="122" spans="2:2" x14ac:dyDescent="0.25">
      <c r="B122" t="s">
        <v>1410</v>
      </c>
    </row>
    <row r="123" spans="2:2" x14ac:dyDescent="0.25">
      <c r="B123" t="s">
        <v>1411</v>
      </c>
    </row>
    <row r="124" spans="2:2" x14ac:dyDescent="0.25">
      <c r="B124" t="s">
        <v>1412</v>
      </c>
    </row>
    <row r="125" spans="2:2" x14ac:dyDescent="0.25">
      <c r="B125" t="s">
        <v>1413</v>
      </c>
    </row>
    <row r="126" spans="2:2" x14ac:dyDescent="0.25">
      <c r="B126" t="s">
        <v>1414</v>
      </c>
    </row>
    <row r="127" spans="2:2" x14ac:dyDescent="0.25">
      <c r="B127" t="s">
        <v>1415</v>
      </c>
    </row>
    <row r="128" spans="2:2" x14ac:dyDescent="0.25">
      <c r="B128" t="s">
        <v>1416</v>
      </c>
    </row>
    <row r="129" spans="2:2" x14ac:dyDescent="0.25">
      <c r="B129" t="s">
        <v>1417</v>
      </c>
    </row>
    <row r="130" spans="2:2" x14ac:dyDescent="0.25">
      <c r="B130" t="s">
        <v>1418</v>
      </c>
    </row>
    <row r="131" spans="2:2" x14ac:dyDescent="0.25">
      <c r="B131" t="s">
        <v>1419</v>
      </c>
    </row>
    <row r="132" spans="2:2" x14ac:dyDescent="0.25">
      <c r="B132" t="s">
        <v>1420</v>
      </c>
    </row>
    <row r="133" spans="2:2" x14ac:dyDescent="0.25">
      <c r="B133" t="s">
        <v>1421</v>
      </c>
    </row>
    <row r="134" spans="2:2" x14ac:dyDescent="0.25">
      <c r="B134" t="s">
        <v>1422</v>
      </c>
    </row>
    <row r="135" spans="2:2" x14ac:dyDescent="0.25">
      <c r="B135" t="s">
        <v>1423</v>
      </c>
    </row>
    <row r="136" spans="2:2" x14ac:dyDescent="0.25">
      <c r="B136" t="s">
        <v>1424</v>
      </c>
    </row>
    <row r="137" spans="2:2" x14ac:dyDescent="0.25">
      <c r="B137" t="s">
        <v>1425</v>
      </c>
    </row>
    <row r="138" spans="2:2" x14ac:dyDescent="0.25">
      <c r="B138" t="s">
        <v>1426</v>
      </c>
    </row>
    <row r="139" spans="2:2" x14ac:dyDescent="0.25">
      <c r="B139" t="s">
        <v>1427</v>
      </c>
    </row>
    <row r="140" spans="2:2" x14ac:dyDescent="0.25">
      <c r="B140" t="s">
        <v>1428</v>
      </c>
    </row>
    <row r="141" spans="2:2" x14ac:dyDescent="0.25">
      <c r="B141" t="s">
        <v>1429</v>
      </c>
    </row>
    <row r="142" spans="2:2" x14ac:dyDescent="0.25">
      <c r="B142" t="s">
        <v>1430</v>
      </c>
    </row>
    <row r="143" spans="2:2" x14ac:dyDescent="0.25">
      <c r="B143" t="s">
        <v>1431</v>
      </c>
    </row>
    <row r="144" spans="2:2" x14ac:dyDescent="0.25">
      <c r="B144" t="s">
        <v>1432</v>
      </c>
    </row>
    <row r="145" spans="2:2" x14ac:dyDescent="0.25">
      <c r="B145" t="s">
        <v>1433</v>
      </c>
    </row>
    <row r="146" spans="2:2" x14ac:dyDescent="0.25">
      <c r="B146" t="s">
        <v>1434</v>
      </c>
    </row>
    <row r="147" spans="2:2" x14ac:dyDescent="0.25">
      <c r="B147" t="s">
        <v>1435</v>
      </c>
    </row>
    <row r="148" spans="2:2" x14ac:dyDescent="0.25">
      <c r="B148" t="s">
        <v>1436</v>
      </c>
    </row>
    <row r="149" spans="2:2" x14ac:dyDescent="0.25">
      <c r="B149" t="s">
        <v>1437</v>
      </c>
    </row>
    <row r="150" spans="2:2" x14ac:dyDescent="0.25">
      <c r="B150" t="s">
        <v>1438</v>
      </c>
    </row>
    <row r="151" spans="2:2" x14ac:dyDescent="0.25">
      <c r="B151" t="s">
        <v>1439</v>
      </c>
    </row>
    <row r="152" spans="2:2" x14ac:dyDescent="0.25">
      <c r="B152" t="s">
        <v>1440</v>
      </c>
    </row>
    <row r="153" spans="2:2" x14ac:dyDescent="0.25">
      <c r="B153" t="s">
        <v>1441</v>
      </c>
    </row>
    <row r="154" spans="2:2" x14ac:dyDescent="0.25">
      <c r="B154" t="s">
        <v>1442</v>
      </c>
    </row>
    <row r="155" spans="2:2" x14ac:dyDescent="0.25">
      <c r="B155" t="s">
        <v>1443</v>
      </c>
    </row>
    <row r="156" spans="2:2" x14ac:dyDescent="0.25">
      <c r="B156" t="s">
        <v>1444</v>
      </c>
    </row>
    <row r="157" spans="2:2" x14ac:dyDescent="0.25">
      <c r="B157" t="s">
        <v>1445</v>
      </c>
    </row>
    <row r="158" spans="2:2" x14ac:dyDescent="0.25">
      <c r="B158" t="s">
        <v>1446</v>
      </c>
    </row>
    <row r="159" spans="2:2" x14ac:dyDescent="0.25">
      <c r="B159" t="s">
        <v>1447</v>
      </c>
    </row>
    <row r="160" spans="2:2" x14ac:dyDescent="0.25">
      <c r="B160" t="s">
        <v>1448</v>
      </c>
    </row>
    <row r="161" spans="2:2" x14ac:dyDescent="0.25">
      <c r="B161" t="s">
        <v>1449</v>
      </c>
    </row>
    <row r="162" spans="2:2" x14ac:dyDescent="0.25">
      <c r="B162" t="s">
        <v>1450</v>
      </c>
    </row>
    <row r="163" spans="2:2" x14ac:dyDescent="0.25">
      <c r="B163" t="s">
        <v>1451</v>
      </c>
    </row>
    <row r="164" spans="2:2" x14ac:dyDescent="0.25">
      <c r="B164" t="s">
        <v>1452</v>
      </c>
    </row>
    <row r="165" spans="2:2" x14ac:dyDescent="0.25">
      <c r="B165" t="s">
        <v>1453</v>
      </c>
    </row>
    <row r="166" spans="2:2" x14ac:dyDescent="0.25">
      <c r="B166" t="s">
        <v>1454</v>
      </c>
    </row>
    <row r="167" spans="2:2" x14ac:dyDescent="0.25">
      <c r="B167" t="s">
        <v>1455</v>
      </c>
    </row>
    <row r="168" spans="2:2" x14ac:dyDescent="0.25">
      <c r="B168" t="s">
        <v>1456</v>
      </c>
    </row>
    <row r="169" spans="2:2" x14ac:dyDescent="0.25">
      <c r="B169" t="s">
        <v>1457</v>
      </c>
    </row>
    <row r="170" spans="2:2" x14ac:dyDescent="0.25">
      <c r="B170" t="s">
        <v>1458</v>
      </c>
    </row>
    <row r="171" spans="2:2" x14ac:dyDescent="0.25">
      <c r="B171" t="s">
        <v>1459</v>
      </c>
    </row>
    <row r="172" spans="2:2" x14ac:dyDescent="0.25">
      <c r="B172" t="s">
        <v>1460</v>
      </c>
    </row>
    <row r="173" spans="2:2" x14ac:dyDescent="0.25">
      <c r="B173" t="s">
        <v>1461</v>
      </c>
    </row>
    <row r="174" spans="2:2" x14ac:dyDescent="0.25">
      <c r="B174" t="s">
        <v>1462</v>
      </c>
    </row>
    <row r="175" spans="2:2" x14ac:dyDescent="0.25">
      <c r="B175" t="s">
        <v>1463</v>
      </c>
    </row>
    <row r="176" spans="2:2" x14ac:dyDescent="0.25">
      <c r="B176" t="s">
        <v>1464</v>
      </c>
    </row>
    <row r="177" spans="2:2" x14ac:dyDescent="0.25">
      <c r="B177" t="s">
        <v>1465</v>
      </c>
    </row>
    <row r="178" spans="2:2" x14ac:dyDescent="0.25">
      <c r="B178" t="s">
        <v>1466</v>
      </c>
    </row>
    <row r="179" spans="2:2" x14ac:dyDescent="0.25">
      <c r="B179" t="s">
        <v>1467</v>
      </c>
    </row>
    <row r="180" spans="2:2" x14ac:dyDescent="0.25">
      <c r="B180" t="s">
        <v>1468</v>
      </c>
    </row>
    <row r="181" spans="2:2" x14ac:dyDescent="0.25">
      <c r="B181" t="s">
        <v>1469</v>
      </c>
    </row>
    <row r="182" spans="2:2" x14ac:dyDescent="0.25">
      <c r="B182" t="s">
        <v>1470</v>
      </c>
    </row>
    <row r="183" spans="2:2" x14ac:dyDescent="0.25">
      <c r="B183" t="s">
        <v>1471</v>
      </c>
    </row>
    <row r="184" spans="2:2" x14ac:dyDescent="0.25">
      <c r="B184" t="s">
        <v>1472</v>
      </c>
    </row>
    <row r="185" spans="2:2" x14ac:dyDescent="0.25">
      <c r="B185" t="s">
        <v>1473</v>
      </c>
    </row>
    <row r="186" spans="2:2" x14ac:dyDescent="0.25">
      <c r="B186" t="s">
        <v>1474</v>
      </c>
    </row>
    <row r="187" spans="2:2" x14ac:dyDescent="0.25">
      <c r="B187" t="s">
        <v>1475</v>
      </c>
    </row>
    <row r="188" spans="2:2" x14ac:dyDescent="0.25">
      <c r="B188" t="s">
        <v>1476</v>
      </c>
    </row>
    <row r="189" spans="2:2" x14ac:dyDescent="0.25">
      <c r="B189" t="s">
        <v>1477</v>
      </c>
    </row>
    <row r="190" spans="2:2" x14ac:dyDescent="0.25">
      <c r="B190" t="s">
        <v>1478</v>
      </c>
    </row>
    <row r="191" spans="2:2" x14ac:dyDescent="0.25">
      <c r="B191" t="s">
        <v>1479</v>
      </c>
    </row>
    <row r="192" spans="2:2" x14ac:dyDescent="0.25">
      <c r="B192" t="s">
        <v>1480</v>
      </c>
    </row>
    <row r="193" spans="2:2" x14ac:dyDescent="0.25">
      <c r="B193" t="s">
        <v>1481</v>
      </c>
    </row>
    <row r="194" spans="2:2" x14ac:dyDescent="0.25">
      <c r="B194" t="s">
        <v>1482</v>
      </c>
    </row>
    <row r="195" spans="2:2" x14ac:dyDescent="0.25">
      <c r="B195" t="s">
        <v>1483</v>
      </c>
    </row>
    <row r="196" spans="2:2" x14ac:dyDescent="0.25">
      <c r="B196" t="s">
        <v>1484</v>
      </c>
    </row>
    <row r="197" spans="2:2" x14ac:dyDescent="0.25">
      <c r="B197" t="s">
        <v>1485</v>
      </c>
    </row>
    <row r="198" spans="2:2" x14ac:dyDescent="0.25">
      <c r="B198" t="s">
        <v>1486</v>
      </c>
    </row>
    <row r="199" spans="2:2" x14ac:dyDescent="0.25">
      <c r="B199" t="s">
        <v>1487</v>
      </c>
    </row>
    <row r="200" spans="2:2" x14ac:dyDescent="0.25">
      <c r="B200" t="s">
        <v>1488</v>
      </c>
    </row>
    <row r="201" spans="2:2" x14ac:dyDescent="0.25">
      <c r="B201" t="s">
        <v>1489</v>
      </c>
    </row>
    <row r="202" spans="2:2" x14ac:dyDescent="0.25">
      <c r="B202" t="s">
        <v>1490</v>
      </c>
    </row>
    <row r="203" spans="2:2" x14ac:dyDescent="0.25">
      <c r="B203" t="s">
        <v>1491</v>
      </c>
    </row>
    <row r="204" spans="2:2" x14ac:dyDescent="0.25">
      <c r="B204" t="s">
        <v>1492</v>
      </c>
    </row>
    <row r="205" spans="2:2" x14ac:dyDescent="0.25">
      <c r="B205" t="s">
        <v>1493</v>
      </c>
    </row>
    <row r="206" spans="2:2" x14ac:dyDescent="0.25">
      <c r="B206" t="s">
        <v>1494</v>
      </c>
    </row>
    <row r="207" spans="2:2" x14ac:dyDescent="0.25">
      <c r="B207" t="s">
        <v>1495</v>
      </c>
    </row>
    <row r="208" spans="2:2" x14ac:dyDescent="0.25">
      <c r="B208" t="s">
        <v>1496</v>
      </c>
    </row>
    <row r="209" spans="2:2" x14ac:dyDescent="0.25">
      <c r="B209" t="s">
        <v>1497</v>
      </c>
    </row>
    <row r="210" spans="2:2" x14ac:dyDescent="0.25">
      <c r="B210" t="s">
        <v>1498</v>
      </c>
    </row>
    <row r="211" spans="2:2" x14ac:dyDescent="0.25">
      <c r="B211" t="s">
        <v>1499</v>
      </c>
    </row>
    <row r="212" spans="2:2" x14ac:dyDescent="0.25">
      <c r="B212" t="s">
        <v>1500</v>
      </c>
    </row>
    <row r="213" spans="2:2" x14ac:dyDescent="0.25">
      <c r="B213" t="s">
        <v>1501</v>
      </c>
    </row>
    <row r="214" spans="2:2" x14ac:dyDescent="0.25">
      <c r="B214" t="s">
        <v>1502</v>
      </c>
    </row>
    <row r="215" spans="2:2" x14ac:dyDescent="0.25">
      <c r="B215" t="s">
        <v>1503</v>
      </c>
    </row>
    <row r="216" spans="2:2" x14ac:dyDescent="0.25">
      <c r="B216" t="s">
        <v>1504</v>
      </c>
    </row>
    <row r="217" spans="2:2" x14ac:dyDescent="0.25">
      <c r="B217" t="s">
        <v>1505</v>
      </c>
    </row>
    <row r="218" spans="2:2" x14ac:dyDescent="0.25">
      <c r="B218" t="s">
        <v>1506</v>
      </c>
    </row>
    <row r="219" spans="2:2" x14ac:dyDescent="0.25">
      <c r="B219" t="s">
        <v>1507</v>
      </c>
    </row>
    <row r="220" spans="2:2" x14ac:dyDescent="0.25">
      <c r="B220" t="s">
        <v>1508</v>
      </c>
    </row>
    <row r="221" spans="2:2" x14ac:dyDescent="0.25">
      <c r="B221" t="s">
        <v>1509</v>
      </c>
    </row>
    <row r="222" spans="2:2" x14ac:dyDescent="0.25">
      <c r="B222" t="s">
        <v>1510</v>
      </c>
    </row>
    <row r="223" spans="2:2" x14ac:dyDescent="0.25">
      <c r="B223" t="s">
        <v>1511</v>
      </c>
    </row>
    <row r="224" spans="2:2" x14ac:dyDescent="0.25">
      <c r="B224" t="s">
        <v>1512</v>
      </c>
    </row>
    <row r="225" spans="2:2" x14ac:dyDescent="0.25">
      <c r="B225" t="s">
        <v>1513</v>
      </c>
    </row>
    <row r="226" spans="2:2" x14ac:dyDescent="0.25">
      <c r="B226" t="s">
        <v>1514</v>
      </c>
    </row>
    <row r="227" spans="2:2" x14ac:dyDescent="0.25">
      <c r="B227" t="s">
        <v>1515</v>
      </c>
    </row>
    <row r="228" spans="2:2" x14ac:dyDescent="0.25">
      <c r="B228" t="s">
        <v>1516</v>
      </c>
    </row>
    <row r="229" spans="2:2" x14ac:dyDescent="0.25">
      <c r="B229" t="s">
        <v>1517</v>
      </c>
    </row>
    <row r="230" spans="2:2" x14ac:dyDescent="0.25">
      <c r="B230" t="s">
        <v>1518</v>
      </c>
    </row>
    <row r="231" spans="2:2" x14ac:dyDescent="0.25">
      <c r="B231" t="s">
        <v>1519</v>
      </c>
    </row>
    <row r="232" spans="2:2" x14ac:dyDescent="0.25">
      <c r="B232" t="s">
        <v>1520</v>
      </c>
    </row>
    <row r="233" spans="2:2" x14ac:dyDescent="0.25">
      <c r="B233" t="s">
        <v>1521</v>
      </c>
    </row>
    <row r="234" spans="2:2" x14ac:dyDescent="0.25">
      <c r="B234" t="s">
        <v>1522</v>
      </c>
    </row>
    <row r="235" spans="2:2" x14ac:dyDescent="0.25">
      <c r="B235" t="s">
        <v>1523</v>
      </c>
    </row>
    <row r="236" spans="2:2" x14ac:dyDescent="0.25">
      <c r="B236" t="s">
        <v>1524</v>
      </c>
    </row>
    <row r="237" spans="2:2" x14ac:dyDescent="0.25">
      <c r="B237" t="s">
        <v>1525</v>
      </c>
    </row>
    <row r="238" spans="2:2" x14ac:dyDescent="0.25">
      <c r="B238" t="s">
        <v>1526</v>
      </c>
    </row>
    <row r="239" spans="2:2" x14ac:dyDescent="0.25">
      <c r="B239" t="s">
        <v>1527</v>
      </c>
    </row>
    <row r="240" spans="2:2" x14ac:dyDescent="0.25">
      <c r="B240" t="s">
        <v>1528</v>
      </c>
    </row>
    <row r="241" spans="2:2" x14ac:dyDescent="0.25">
      <c r="B241" t="s">
        <v>1529</v>
      </c>
    </row>
    <row r="242" spans="2:2" x14ac:dyDescent="0.25">
      <c r="B242" t="s">
        <v>1530</v>
      </c>
    </row>
    <row r="243" spans="2:2" x14ac:dyDescent="0.25">
      <c r="B243" t="s">
        <v>1531</v>
      </c>
    </row>
    <row r="244" spans="2:2" x14ac:dyDescent="0.25">
      <c r="B244" t="s">
        <v>1532</v>
      </c>
    </row>
    <row r="245" spans="2:2" x14ac:dyDescent="0.25">
      <c r="B245" t="s">
        <v>1533</v>
      </c>
    </row>
    <row r="246" spans="2:2" x14ac:dyDescent="0.25">
      <c r="B246" t="s">
        <v>1534</v>
      </c>
    </row>
    <row r="247" spans="2:2" x14ac:dyDescent="0.25">
      <c r="B247" t="s">
        <v>1535</v>
      </c>
    </row>
    <row r="248" spans="2:2" x14ac:dyDescent="0.25">
      <c r="B248" t="s">
        <v>1536</v>
      </c>
    </row>
    <row r="249" spans="2:2" x14ac:dyDescent="0.25">
      <c r="B249" t="s">
        <v>1537</v>
      </c>
    </row>
    <row r="250" spans="2:2" x14ac:dyDescent="0.25">
      <c r="B250" t="s">
        <v>1538</v>
      </c>
    </row>
    <row r="251" spans="2:2" x14ac:dyDescent="0.25">
      <c r="B251" t="s">
        <v>1539</v>
      </c>
    </row>
    <row r="252" spans="2:2" x14ac:dyDescent="0.25">
      <c r="B252" t="s">
        <v>1540</v>
      </c>
    </row>
    <row r="253" spans="2:2" x14ac:dyDescent="0.25">
      <c r="B253" t="s">
        <v>1541</v>
      </c>
    </row>
    <row r="254" spans="2:2" x14ac:dyDescent="0.25">
      <c r="B254" t="s">
        <v>1542</v>
      </c>
    </row>
    <row r="255" spans="2:2" x14ac:dyDescent="0.25">
      <c r="B255" t="s">
        <v>1543</v>
      </c>
    </row>
    <row r="256" spans="2:2" x14ac:dyDescent="0.25">
      <c r="B256" t="s">
        <v>1544</v>
      </c>
    </row>
    <row r="257" spans="2:2" x14ac:dyDescent="0.25">
      <c r="B257" t="s">
        <v>1545</v>
      </c>
    </row>
    <row r="258" spans="2:2" x14ac:dyDescent="0.25">
      <c r="B258" t="s">
        <v>1546</v>
      </c>
    </row>
    <row r="259" spans="2:2" x14ac:dyDescent="0.25">
      <c r="B259" t="s">
        <v>1547</v>
      </c>
    </row>
    <row r="260" spans="2:2" x14ac:dyDescent="0.25">
      <c r="B260" t="s">
        <v>1548</v>
      </c>
    </row>
    <row r="261" spans="2:2" x14ac:dyDescent="0.25">
      <c r="B261" t="s">
        <v>1549</v>
      </c>
    </row>
    <row r="262" spans="2:2" x14ac:dyDescent="0.25">
      <c r="B262" t="s">
        <v>1550</v>
      </c>
    </row>
    <row r="263" spans="2:2" x14ac:dyDescent="0.25">
      <c r="B263" t="s">
        <v>1551</v>
      </c>
    </row>
    <row r="264" spans="2:2" x14ac:dyDescent="0.25">
      <c r="B264" t="s">
        <v>1552</v>
      </c>
    </row>
    <row r="265" spans="2:2" x14ac:dyDescent="0.25">
      <c r="B265" t="s">
        <v>1553</v>
      </c>
    </row>
    <row r="266" spans="2:2" x14ac:dyDescent="0.25">
      <c r="B266" t="s">
        <v>1554</v>
      </c>
    </row>
    <row r="267" spans="2:2" x14ac:dyDescent="0.25">
      <c r="B267" t="s">
        <v>1555</v>
      </c>
    </row>
    <row r="268" spans="2:2" x14ac:dyDescent="0.25">
      <c r="B268" t="s">
        <v>1556</v>
      </c>
    </row>
    <row r="269" spans="2:2" x14ac:dyDescent="0.25">
      <c r="B269" t="s">
        <v>1557</v>
      </c>
    </row>
    <row r="270" spans="2:2" x14ac:dyDescent="0.25">
      <c r="B270" t="s">
        <v>1558</v>
      </c>
    </row>
    <row r="271" spans="2:2" x14ac:dyDescent="0.25">
      <c r="B271" t="s">
        <v>1559</v>
      </c>
    </row>
    <row r="272" spans="2:2" x14ac:dyDescent="0.25">
      <c r="B272" t="s">
        <v>1560</v>
      </c>
    </row>
    <row r="273" spans="2:2" x14ac:dyDescent="0.25">
      <c r="B273" t="s">
        <v>1561</v>
      </c>
    </row>
    <row r="274" spans="2:2" x14ac:dyDescent="0.25">
      <c r="B274" t="s">
        <v>1562</v>
      </c>
    </row>
    <row r="275" spans="2:2" x14ac:dyDescent="0.25">
      <c r="B275" t="s">
        <v>1563</v>
      </c>
    </row>
    <row r="276" spans="2:2" x14ac:dyDescent="0.25">
      <c r="B276" t="s">
        <v>1564</v>
      </c>
    </row>
    <row r="277" spans="2:2" x14ac:dyDescent="0.25">
      <c r="B277" t="s">
        <v>1565</v>
      </c>
    </row>
    <row r="278" spans="2:2" x14ac:dyDescent="0.25">
      <c r="B278" t="s">
        <v>1566</v>
      </c>
    </row>
    <row r="279" spans="2:2" x14ac:dyDescent="0.25">
      <c r="B279" t="s">
        <v>1567</v>
      </c>
    </row>
    <row r="280" spans="2:2" x14ac:dyDescent="0.25">
      <c r="B280" t="s">
        <v>1568</v>
      </c>
    </row>
    <row r="281" spans="2:2" x14ac:dyDescent="0.25">
      <c r="B281" t="s">
        <v>1569</v>
      </c>
    </row>
    <row r="282" spans="2:2" x14ac:dyDescent="0.25">
      <c r="B282" t="s">
        <v>1570</v>
      </c>
    </row>
    <row r="283" spans="2:2" x14ac:dyDescent="0.25">
      <c r="B283" t="s">
        <v>1571</v>
      </c>
    </row>
    <row r="284" spans="2:2" x14ac:dyDescent="0.25">
      <c r="B284" t="s">
        <v>1572</v>
      </c>
    </row>
    <row r="285" spans="2:2" x14ac:dyDescent="0.25">
      <c r="B285" t="s">
        <v>1573</v>
      </c>
    </row>
    <row r="286" spans="2:2" x14ac:dyDescent="0.25">
      <c r="B286" t="s">
        <v>1574</v>
      </c>
    </row>
    <row r="287" spans="2:2" x14ac:dyDescent="0.25">
      <c r="B287" t="s">
        <v>1575</v>
      </c>
    </row>
    <row r="288" spans="2:2" x14ac:dyDescent="0.25">
      <c r="B288" t="s">
        <v>1576</v>
      </c>
    </row>
    <row r="289" spans="2:2" x14ac:dyDescent="0.25">
      <c r="B289" t="s">
        <v>1577</v>
      </c>
    </row>
    <row r="290" spans="2:2" x14ac:dyDescent="0.25">
      <c r="B290" t="s">
        <v>1578</v>
      </c>
    </row>
    <row r="291" spans="2:2" x14ac:dyDescent="0.25">
      <c r="B291" t="s">
        <v>1579</v>
      </c>
    </row>
    <row r="292" spans="2:2" x14ac:dyDescent="0.25">
      <c r="B292" t="s">
        <v>1580</v>
      </c>
    </row>
    <row r="293" spans="2:2" x14ac:dyDescent="0.25">
      <c r="B293" t="s">
        <v>1581</v>
      </c>
    </row>
    <row r="294" spans="2:2" x14ac:dyDescent="0.25">
      <c r="B294" t="s">
        <v>1582</v>
      </c>
    </row>
    <row r="295" spans="2:2" x14ac:dyDescent="0.25">
      <c r="B295" t="s">
        <v>1583</v>
      </c>
    </row>
    <row r="296" spans="2:2" x14ac:dyDescent="0.25">
      <c r="B296" t="s">
        <v>1584</v>
      </c>
    </row>
    <row r="297" spans="2:2" x14ac:dyDescent="0.25">
      <c r="B297" t="s">
        <v>1585</v>
      </c>
    </row>
    <row r="298" spans="2:2" x14ac:dyDescent="0.25">
      <c r="B298" t="s">
        <v>1586</v>
      </c>
    </row>
    <row r="299" spans="2:2" x14ac:dyDescent="0.25">
      <c r="B299" t="s">
        <v>1587</v>
      </c>
    </row>
    <row r="300" spans="2:2" x14ac:dyDescent="0.25">
      <c r="B300" t="s">
        <v>1588</v>
      </c>
    </row>
    <row r="301" spans="2:2" x14ac:dyDescent="0.25">
      <c r="B301" t="s">
        <v>1589</v>
      </c>
    </row>
    <row r="302" spans="2:2" x14ac:dyDescent="0.25">
      <c r="B302" t="s">
        <v>1590</v>
      </c>
    </row>
    <row r="303" spans="2:2" x14ac:dyDescent="0.25">
      <c r="B303" t="s">
        <v>1591</v>
      </c>
    </row>
    <row r="304" spans="2:2" x14ac:dyDescent="0.25">
      <c r="B304" t="s">
        <v>1592</v>
      </c>
    </row>
    <row r="305" spans="2:2" x14ac:dyDescent="0.25">
      <c r="B305" t="s">
        <v>1593</v>
      </c>
    </row>
    <row r="306" spans="2:2" x14ac:dyDescent="0.25">
      <c r="B306" t="s">
        <v>1594</v>
      </c>
    </row>
    <row r="307" spans="2:2" x14ac:dyDescent="0.25">
      <c r="B307" t="s">
        <v>1595</v>
      </c>
    </row>
    <row r="308" spans="2:2" x14ac:dyDescent="0.25">
      <c r="B308" t="s">
        <v>1596</v>
      </c>
    </row>
    <row r="309" spans="2:2" x14ac:dyDescent="0.25">
      <c r="B309" t="s">
        <v>1597</v>
      </c>
    </row>
    <row r="310" spans="2:2" x14ac:dyDescent="0.25">
      <c r="B310" t="s">
        <v>1598</v>
      </c>
    </row>
    <row r="311" spans="2:2" x14ac:dyDescent="0.25">
      <c r="B311" t="s">
        <v>1599</v>
      </c>
    </row>
    <row r="312" spans="2:2" x14ac:dyDescent="0.25">
      <c r="B312" t="s">
        <v>1600</v>
      </c>
    </row>
    <row r="313" spans="2:2" x14ac:dyDescent="0.25">
      <c r="B313" t="s">
        <v>1601</v>
      </c>
    </row>
    <row r="314" spans="2:2" x14ac:dyDescent="0.25">
      <c r="B314" t="s">
        <v>1602</v>
      </c>
    </row>
    <row r="315" spans="2:2" x14ac:dyDescent="0.25">
      <c r="B315" t="s">
        <v>1603</v>
      </c>
    </row>
    <row r="316" spans="2:2" x14ac:dyDescent="0.25">
      <c r="B316" t="s">
        <v>1604</v>
      </c>
    </row>
    <row r="317" spans="2:2" x14ac:dyDescent="0.25">
      <c r="B317" t="s">
        <v>1605</v>
      </c>
    </row>
    <row r="318" spans="2:2" x14ac:dyDescent="0.25">
      <c r="B318" t="s">
        <v>1606</v>
      </c>
    </row>
    <row r="319" spans="2:2" x14ac:dyDescent="0.25">
      <c r="B319" t="s">
        <v>1607</v>
      </c>
    </row>
    <row r="320" spans="2:2" x14ac:dyDescent="0.25">
      <c r="B320" t="s">
        <v>1608</v>
      </c>
    </row>
    <row r="321" spans="2:2" x14ac:dyDescent="0.25">
      <c r="B321" t="s">
        <v>1609</v>
      </c>
    </row>
    <row r="322" spans="2:2" x14ac:dyDescent="0.25">
      <c r="B322" t="s">
        <v>1610</v>
      </c>
    </row>
    <row r="323" spans="2:2" x14ac:dyDescent="0.25">
      <c r="B323" t="s">
        <v>1611</v>
      </c>
    </row>
    <row r="324" spans="2:2" x14ac:dyDescent="0.25">
      <c r="B324" t="s">
        <v>1612</v>
      </c>
    </row>
    <row r="325" spans="2:2" x14ac:dyDescent="0.25">
      <c r="B325" t="s">
        <v>1613</v>
      </c>
    </row>
    <row r="326" spans="2:2" x14ac:dyDescent="0.25">
      <c r="B326" t="s">
        <v>1614</v>
      </c>
    </row>
    <row r="327" spans="2:2" x14ac:dyDescent="0.25">
      <c r="B327" t="s">
        <v>1615</v>
      </c>
    </row>
    <row r="328" spans="2:2" x14ac:dyDescent="0.25">
      <c r="B328" t="s">
        <v>1616</v>
      </c>
    </row>
    <row r="329" spans="2:2" x14ac:dyDescent="0.25">
      <c r="B329" t="s">
        <v>1617</v>
      </c>
    </row>
    <row r="330" spans="2:2" x14ac:dyDescent="0.25">
      <c r="B330" t="s">
        <v>1618</v>
      </c>
    </row>
    <row r="331" spans="2:2" x14ac:dyDescent="0.25">
      <c r="B331" t="s">
        <v>1619</v>
      </c>
    </row>
    <row r="332" spans="2:2" x14ac:dyDescent="0.25">
      <c r="B332" t="s">
        <v>1620</v>
      </c>
    </row>
    <row r="333" spans="2:2" x14ac:dyDescent="0.25">
      <c r="B333" t="s">
        <v>1621</v>
      </c>
    </row>
    <row r="334" spans="2:2" x14ac:dyDescent="0.25">
      <c r="B334" t="s">
        <v>1622</v>
      </c>
    </row>
    <row r="335" spans="2:2" x14ac:dyDescent="0.25">
      <c r="B335" t="s">
        <v>1623</v>
      </c>
    </row>
    <row r="336" spans="2:2" x14ac:dyDescent="0.25">
      <c r="B336" t="s">
        <v>1624</v>
      </c>
    </row>
    <row r="337" spans="2:2" x14ac:dyDescent="0.25">
      <c r="B337" t="s">
        <v>1625</v>
      </c>
    </row>
    <row r="338" spans="2:2" x14ac:dyDescent="0.25">
      <c r="B338" t="s">
        <v>1626</v>
      </c>
    </row>
    <row r="339" spans="2:2" x14ac:dyDescent="0.25">
      <c r="B339" t="s">
        <v>1627</v>
      </c>
    </row>
    <row r="340" spans="2:2" x14ac:dyDescent="0.25">
      <c r="B340" t="s">
        <v>1628</v>
      </c>
    </row>
    <row r="341" spans="2:2" x14ac:dyDescent="0.25">
      <c r="B341" t="s">
        <v>1629</v>
      </c>
    </row>
    <row r="342" spans="2:2" x14ac:dyDescent="0.25">
      <c r="B342" t="s">
        <v>1630</v>
      </c>
    </row>
    <row r="343" spans="2:2" x14ac:dyDescent="0.25">
      <c r="B343" t="s">
        <v>1631</v>
      </c>
    </row>
    <row r="344" spans="2:2" x14ac:dyDescent="0.25">
      <c r="B344" t="s">
        <v>1632</v>
      </c>
    </row>
    <row r="345" spans="2:2" x14ac:dyDescent="0.25">
      <c r="B345" t="s">
        <v>1633</v>
      </c>
    </row>
    <row r="346" spans="2:2" x14ac:dyDescent="0.25">
      <c r="B346" t="s">
        <v>1634</v>
      </c>
    </row>
    <row r="347" spans="2:2" x14ac:dyDescent="0.25">
      <c r="B347" t="s">
        <v>1635</v>
      </c>
    </row>
    <row r="348" spans="2:2" x14ac:dyDescent="0.25">
      <c r="B348" t="s">
        <v>1636</v>
      </c>
    </row>
    <row r="349" spans="2:2" x14ac:dyDescent="0.25">
      <c r="B349" t="s">
        <v>1637</v>
      </c>
    </row>
    <row r="350" spans="2:2" x14ac:dyDescent="0.25">
      <c r="B350" t="s">
        <v>1638</v>
      </c>
    </row>
    <row r="351" spans="2:2" x14ac:dyDescent="0.25">
      <c r="B351" t="s">
        <v>1639</v>
      </c>
    </row>
    <row r="352" spans="2:2" x14ac:dyDescent="0.25">
      <c r="B352" t="s">
        <v>1640</v>
      </c>
    </row>
    <row r="353" spans="2:2" x14ac:dyDescent="0.25">
      <c r="B353" t="s">
        <v>1641</v>
      </c>
    </row>
    <row r="354" spans="2:2" x14ac:dyDescent="0.25">
      <c r="B354" t="s">
        <v>1642</v>
      </c>
    </row>
    <row r="355" spans="2:2" x14ac:dyDescent="0.25">
      <c r="B355" t="s">
        <v>1643</v>
      </c>
    </row>
    <row r="356" spans="2:2" x14ac:dyDescent="0.25">
      <c r="B356" t="s">
        <v>1644</v>
      </c>
    </row>
    <row r="357" spans="2:2" x14ac:dyDescent="0.25">
      <c r="B357" t="s">
        <v>1645</v>
      </c>
    </row>
    <row r="358" spans="2:2" x14ac:dyDescent="0.25">
      <c r="B358" t="s">
        <v>1646</v>
      </c>
    </row>
    <row r="359" spans="2:2" x14ac:dyDescent="0.25">
      <c r="B359" t="s">
        <v>1647</v>
      </c>
    </row>
    <row r="360" spans="2:2" x14ac:dyDescent="0.25">
      <c r="B360" t="s">
        <v>1648</v>
      </c>
    </row>
    <row r="361" spans="2:2" x14ac:dyDescent="0.25">
      <c r="B361" t="s">
        <v>1649</v>
      </c>
    </row>
    <row r="362" spans="2:2" x14ac:dyDescent="0.25">
      <c r="B362" t="s">
        <v>1650</v>
      </c>
    </row>
    <row r="363" spans="2:2" x14ac:dyDescent="0.25">
      <c r="B363" t="s">
        <v>1651</v>
      </c>
    </row>
    <row r="364" spans="2:2" x14ac:dyDescent="0.25">
      <c r="B364" t="s">
        <v>1652</v>
      </c>
    </row>
    <row r="365" spans="2:2" x14ac:dyDescent="0.25">
      <c r="B365" t="s">
        <v>1653</v>
      </c>
    </row>
    <row r="366" spans="2:2" x14ac:dyDescent="0.25">
      <c r="B366" t="s">
        <v>1654</v>
      </c>
    </row>
    <row r="367" spans="2:2" x14ac:dyDescent="0.25">
      <c r="B367" t="s">
        <v>1655</v>
      </c>
    </row>
    <row r="368" spans="2:2" x14ac:dyDescent="0.25">
      <c r="B368" t="s">
        <v>1656</v>
      </c>
    </row>
    <row r="369" spans="2:2" x14ac:dyDescent="0.25">
      <c r="B369" t="s">
        <v>1657</v>
      </c>
    </row>
    <row r="370" spans="2:2" x14ac:dyDescent="0.25">
      <c r="B370" t="s">
        <v>1658</v>
      </c>
    </row>
    <row r="371" spans="2:2" x14ac:dyDescent="0.25">
      <c r="B371" t="s">
        <v>1659</v>
      </c>
    </row>
    <row r="372" spans="2:2" x14ac:dyDescent="0.25">
      <c r="B372" t="s">
        <v>1660</v>
      </c>
    </row>
    <row r="373" spans="2:2" x14ac:dyDescent="0.25">
      <c r="B373" t="s">
        <v>1684</v>
      </c>
    </row>
    <row r="374" spans="2:2" x14ac:dyDescent="0.25">
      <c r="B374" t="s">
        <v>1661</v>
      </c>
    </row>
    <row r="375" spans="2:2" x14ac:dyDescent="0.25">
      <c r="B375" t="s">
        <v>1662</v>
      </c>
    </row>
    <row r="376" spans="2:2" x14ac:dyDescent="0.25">
      <c r="B376" t="s">
        <v>1663</v>
      </c>
    </row>
    <row r="377" spans="2:2" x14ac:dyDescent="0.25">
      <c r="B377" t="s">
        <v>1664</v>
      </c>
    </row>
    <row r="378" spans="2:2" x14ac:dyDescent="0.25">
      <c r="B378" t="s">
        <v>1665</v>
      </c>
    </row>
    <row r="379" spans="2:2" x14ac:dyDescent="0.25">
      <c r="B379" t="s">
        <v>1666</v>
      </c>
    </row>
    <row r="380" spans="2:2" x14ac:dyDescent="0.25">
      <c r="B380" t="s">
        <v>1667</v>
      </c>
    </row>
    <row r="381" spans="2:2" x14ac:dyDescent="0.25">
      <c r="B381" t="s">
        <v>1668</v>
      </c>
    </row>
    <row r="382" spans="2:2" x14ac:dyDescent="0.25">
      <c r="B382" t="s">
        <v>1669</v>
      </c>
    </row>
    <row r="383" spans="2:2" x14ac:dyDescent="0.25">
      <c r="B383" t="s">
        <v>1670</v>
      </c>
    </row>
    <row r="384" spans="2:2" x14ac:dyDescent="0.25">
      <c r="B384" t="s">
        <v>1671</v>
      </c>
    </row>
    <row r="385" spans="2:2" x14ac:dyDescent="0.25">
      <c r="B385" t="s">
        <v>1672</v>
      </c>
    </row>
    <row r="386" spans="2:2" x14ac:dyDescent="0.25">
      <c r="B386" t="s">
        <v>1673</v>
      </c>
    </row>
    <row r="387" spans="2:2" x14ac:dyDescent="0.25">
      <c r="B387" t="s">
        <v>1674</v>
      </c>
    </row>
    <row r="388" spans="2:2" x14ac:dyDescent="0.25">
      <c r="B388" t="s">
        <v>1675</v>
      </c>
    </row>
    <row r="389" spans="2:2" x14ac:dyDescent="0.25">
      <c r="B389" t="s">
        <v>1676</v>
      </c>
    </row>
    <row r="390" spans="2:2" x14ac:dyDescent="0.25">
      <c r="B390" t="s">
        <v>1677</v>
      </c>
    </row>
    <row r="391" spans="2:2" x14ac:dyDescent="0.25">
      <c r="B391" t="s">
        <v>1678</v>
      </c>
    </row>
    <row r="392" spans="2:2" x14ac:dyDescent="0.25">
      <c r="B392" t="s">
        <v>1679</v>
      </c>
    </row>
    <row r="393" spans="2:2" x14ac:dyDescent="0.25">
      <c r="B393" t="s">
        <v>1680</v>
      </c>
    </row>
    <row r="394" spans="2:2" x14ac:dyDescent="0.25">
      <c r="B394" t="s">
        <v>1681</v>
      </c>
    </row>
    <row r="395" spans="2:2" x14ac:dyDescent="0.25">
      <c r="B395" t="s">
        <v>1682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7"/>
  <sheetViews>
    <sheetView zoomScaleNormal="100" workbookViewId="0">
      <selection sqref="A1:A20"/>
    </sheetView>
  </sheetViews>
  <sheetFormatPr defaultRowHeight="15" x14ac:dyDescent="0.25"/>
  <cols>
    <col min="1" max="1" width="46.5703125" bestFit="1" customWidth="1"/>
  </cols>
  <sheetData>
    <row r="1" spans="1:1" x14ac:dyDescent="0.25">
      <c r="A1" s="2" t="s">
        <v>893</v>
      </c>
    </row>
    <row r="2" spans="1:1" x14ac:dyDescent="0.25">
      <c r="A2" s="2" t="s">
        <v>894</v>
      </c>
    </row>
    <row r="3" spans="1:1" x14ac:dyDescent="0.25">
      <c r="A3" s="2" t="s">
        <v>895</v>
      </c>
    </row>
    <row r="4" spans="1:1" x14ac:dyDescent="0.25">
      <c r="A4" s="2" t="s">
        <v>896</v>
      </c>
    </row>
    <row r="5" spans="1:1" x14ac:dyDescent="0.25">
      <c r="A5" s="2" t="s">
        <v>897</v>
      </c>
    </row>
    <row r="6" spans="1:1" x14ac:dyDescent="0.25">
      <c r="A6" s="2" t="s">
        <v>898</v>
      </c>
    </row>
    <row r="7" spans="1:1" x14ac:dyDescent="0.25">
      <c r="A7" s="2" t="s">
        <v>899</v>
      </c>
    </row>
    <row r="8" spans="1:1" x14ac:dyDescent="0.25">
      <c r="A8" s="2" t="s">
        <v>900</v>
      </c>
    </row>
    <row r="9" spans="1:1" x14ac:dyDescent="0.25">
      <c r="A9" s="2" t="s">
        <v>901</v>
      </c>
    </row>
    <row r="10" spans="1:1" x14ac:dyDescent="0.25">
      <c r="A10" s="2" t="s">
        <v>902</v>
      </c>
    </row>
    <row r="11" spans="1:1" x14ac:dyDescent="0.25">
      <c r="A11" s="2" t="s">
        <v>903</v>
      </c>
    </row>
    <row r="12" spans="1:1" x14ac:dyDescent="0.25">
      <c r="A12" s="2" t="s">
        <v>904</v>
      </c>
    </row>
    <row r="13" spans="1:1" x14ac:dyDescent="0.25">
      <c r="A13" s="2" t="s">
        <v>905</v>
      </c>
    </row>
    <row r="14" spans="1:1" x14ac:dyDescent="0.25">
      <c r="A14" s="2" t="s">
        <v>906</v>
      </c>
    </row>
    <row r="15" spans="1:1" x14ac:dyDescent="0.25">
      <c r="A15" s="2" t="s">
        <v>907</v>
      </c>
    </row>
    <row r="16" spans="1:1" x14ac:dyDescent="0.25">
      <c r="A16" s="2" t="s">
        <v>908</v>
      </c>
    </row>
    <row r="17" spans="1:1" x14ac:dyDescent="0.25">
      <c r="A17" s="2" t="s">
        <v>909</v>
      </c>
    </row>
    <row r="18" spans="1:1" x14ac:dyDescent="0.25">
      <c r="A18" s="2" t="s">
        <v>910</v>
      </c>
    </row>
    <row r="19" spans="1:1" x14ac:dyDescent="0.25">
      <c r="A19" s="2" t="s">
        <v>911</v>
      </c>
    </row>
    <row r="20" spans="1:1" x14ac:dyDescent="0.25">
      <c r="A20" s="2" t="s">
        <v>912</v>
      </c>
    </row>
    <row r="21" spans="1:1" x14ac:dyDescent="0.25">
      <c r="A21" s="2" t="s">
        <v>913</v>
      </c>
    </row>
    <row r="22" spans="1:1" x14ac:dyDescent="0.25">
      <c r="A22" s="2" t="s">
        <v>914</v>
      </c>
    </row>
    <row r="23" spans="1:1" x14ac:dyDescent="0.25">
      <c r="A23" s="2" t="s">
        <v>915</v>
      </c>
    </row>
    <row r="24" spans="1:1" x14ac:dyDescent="0.25">
      <c r="A24" s="2" t="s">
        <v>916</v>
      </c>
    </row>
    <row r="25" spans="1:1" x14ac:dyDescent="0.25">
      <c r="A25" s="2" t="s">
        <v>917</v>
      </c>
    </row>
    <row r="26" spans="1:1" x14ac:dyDescent="0.25">
      <c r="A26" s="2" t="s">
        <v>918</v>
      </c>
    </row>
    <row r="27" spans="1:1" x14ac:dyDescent="0.25">
      <c r="A27" s="2" t="s">
        <v>919</v>
      </c>
    </row>
    <row r="28" spans="1:1" x14ac:dyDescent="0.25">
      <c r="A28" s="2" t="s">
        <v>920</v>
      </c>
    </row>
    <row r="29" spans="1:1" x14ac:dyDescent="0.25">
      <c r="A29" s="2" t="s">
        <v>921</v>
      </c>
    </row>
    <row r="30" spans="1:1" x14ac:dyDescent="0.25">
      <c r="A30" s="2" t="s">
        <v>922</v>
      </c>
    </row>
    <row r="31" spans="1:1" x14ac:dyDescent="0.25">
      <c r="A31" s="2" t="s">
        <v>923</v>
      </c>
    </row>
    <row r="32" spans="1:1" x14ac:dyDescent="0.25">
      <c r="A32" s="2" t="s">
        <v>924</v>
      </c>
    </row>
    <row r="33" spans="1:1" x14ac:dyDescent="0.25">
      <c r="A33" s="2" t="s">
        <v>925</v>
      </c>
    </row>
    <row r="34" spans="1:1" x14ac:dyDescent="0.25">
      <c r="A34" s="2" t="s">
        <v>926</v>
      </c>
    </row>
    <row r="35" spans="1:1" x14ac:dyDescent="0.25">
      <c r="A35" s="2" t="s">
        <v>927</v>
      </c>
    </row>
    <row r="36" spans="1:1" x14ac:dyDescent="0.25">
      <c r="A36" s="2" t="s">
        <v>928</v>
      </c>
    </row>
    <row r="37" spans="1:1" x14ac:dyDescent="0.25">
      <c r="A37" s="2" t="s">
        <v>929</v>
      </c>
    </row>
    <row r="38" spans="1:1" x14ac:dyDescent="0.25">
      <c r="A38" s="2" t="s">
        <v>930</v>
      </c>
    </row>
    <row r="39" spans="1:1" x14ac:dyDescent="0.25">
      <c r="A39" s="2" t="s">
        <v>931</v>
      </c>
    </row>
    <row r="40" spans="1:1" x14ac:dyDescent="0.25">
      <c r="A40" s="2" t="s">
        <v>932</v>
      </c>
    </row>
    <row r="41" spans="1:1" x14ac:dyDescent="0.25">
      <c r="A41" s="2" t="s">
        <v>933</v>
      </c>
    </row>
    <row r="42" spans="1:1" x14ac:dyDescent="0.25">
      <c r="A42" s="2" t="s">
        <v>934</v>
      </c>
    </row>
    <row r="43" spans="1:1" x14ac:dyDescent="0.25">
      <c r="A43" s="2" t="s">
        <v>935</v>
      </c>
    </row>
    <row r="44" spans="1:1" x14ac:dyDescent="0.25">
      <c r="A44" s="2" t="s">
        <v>936</v>
      </c>
    </row>
    <row r="45" spans="1:1" x14ac:dyDescent="0.25">
      <c r="A45" s="2" t="s">
        <v>937</v>
      </c>
    </row>
    <row r="46" spans="1:1" x14ac:dyDescent="0.25">
      <c r="A46" s="2" t="s">
        <v>938</v>
      </c>
    </row>
    <row r="47" spans="1:1" x14ac:dyDescent="0.25">
      <c r="A47" s="2" t="s">
        <v>939</v>
      </c>
    </row>
    <row r="48" spans="1:1" x14ac:dyDescent="0.25">
      <c r="A48" s="2" t="s">
        <v>940</v>
      </c>
    </row>
    <row r="49" spans="1:1" x14ac:dyDescent="0.25">
      <c r="A49" s="2" t="s">
        <v>941</v>
      </c>
    </row>
    <row r="50" spans="1:1" x14ac:dyDescent="0.25">
      <c r="A50" s="2" t="s">
        <v>942</v>
      </c>
    </row>
    <row r="51" spans="1:1" x14ac:dyDescent="0.25">
      <c r="A51" s="2" t="s">
        <v>943</v>
      </c>
    </row>
    <row r="52" spans="1:1" x14ac:dyDescent="0.25">
      <c r="A52" s="2" t="s">
        <v>944</v>
      </c>
    </row>
    <row r="53" spans="1:1" x14ac:dyDescent="0.25">
      <c r="A53" s="2" t="s">
        <v>945</v>
      </c>
    </row>
    <row r="54" spans="1:1" x14ac:dyDescent="0.25">
      <c r="A54" s="2" t="s">
        <v>946</v>
      </c>
    </row>
    <row r="55" spans="1:1" x14ac:dyDescent="0.25">
      <c r="A55" s="2" t="s">
        <v>947</v>
      </c>
    </row>
    <row r="56" spans="1:1" x14ac:dyDescent="0.25">
      <c r="A56" s="2" t="s">
        <v>948</v>
      </c>
    </row>
    <row r="57" spans="1:1" x14ac:dyDescent="0.25">
      <c r="A57" s="2" t="s">
        <v>949</v>
      </c>
    </row>
    <row r="58" spans="1:1" x14ac:dyDescent="0.25">
      <c r="A58" s="2" t="s">
        <v>950</v>
      </c>
    </row>
    <row r="59" spans="1:1" x14ac:dyDescent="0.25">
      <c r="A59" s="2" t="s">
        <v>951</v>
      </c>
    </row>
    <row r="60" spans="1:1" x14ac:dyDescent="0.25">
      <c r="A60" s="2" t="s">
        <v>952</v>
      </c>
    </row>
    <row r="61" spans="1:1" x14ac:dyDescent="0.25">
      <c r="A61" s="2" t="s">
        <v>953</v>
      </c>
    </row>
    <row r="62" spans="1:1" x14ac:dyDescent="0.25">
      <c r="A62" s="2" t="s">
        <v>954</v>
      </c>
    </row>
    <row r="63" spans="1:1" x14ac:dyDescent="0.25">
      <c r="A63" s="2" t="s">
        <v>955</v>
      </c>
    </row>
    <row r="64" spans="1:1" x14ac:dyDescent="0.25">
      <c r="A64" s="2" t="s">
        <v>956</v>
      </c>
    </row>
    <row r="65" spans="1:1" x14ac:dyDescent="0.25">
      <c r="A65" s="2" t="s">
        <v>957</v>
      </c>
    </row>
    <row r="66" spans="1:1" x14ac:dyDescent="0.25">
      <c r="A66" s="2" t="s">
        <v>958</v>
      </c>
    </row>
    <row r="67" spans="1:1" x14ac:dyDescent="0.25">
      <c r="A67" s="2" t="s">
        <v>959</v>
      </c>
    </row>
    <row r="68" spans="1:1" x14ac:dyDescent="0.25">
      <c r="A68" s="2" t="s">
        <v>960</v>
      </c>
    </row>
    <row r="69" spans="1:1" x14ac:dyDescent="0.25">
      <c r="A69" s="2" t="s">
        <v>961</v>
      </c>
    </row>
    <row r="70" spans="1:1" x14ac:dyDescent="0.25">
      <c r="A70" s="2" t="s">
        <v>962</v>
      </c>
    </row>
    <row r="71" spans="1:1" x14ac:dyDescent="0.25">
      <c r="A71" s="2" t="s">
        <v>963</v>
      </c>
    </row>
    <row r="72" spans="1:1" x14ac:dyDescent="0.25">
      <c r="A72" s="2" t="s">
        <v>964</v>
      </c>
    </row>
    <row r="73" spans="1:1" x14ac:dyDescent="0.25">
      <c r="A73" s="2" t="s">
        <v>965</v>
      </c>
    </row>
    <row r="74" spans="1:1" x14ac:dyDescent="0.25">
      <c r="A74" s="2" t="s">
        <v>966</v>
      </c>
    </row>
    <row r="75" spans="1:1" x14ac:dyDescent="0.25">
      <c r="A75" s="2" t="s">
        <v>967</v>
      </c>
    </row>
    <row r="76" spans="1:1" x14ac:dyDescent="0.25">
      <c r="A76" s="2" t="s">
        <v>968</v>
      </c>
    </row>
    <row r="77" spans="1:1" x14ac:dyDescent="0.25">
      <c r="A77" s="2" t="s">
        <v>969</v>
      </c>
    </row>
    <row r="78" spans="1:1" x14ac:dyDescent="0.25">
      <c r="A78" s="2" t="s">
        <v>970</v>
      </c>
    </row>
    <row r="79" spans="1:1" x14ac:dyDescent="0.25">
      <c r="A79" s="2" t="s">
        <v>971</v>
      </c>
    </row>
    <row r="80" spans="1:1" x14ac:dyDescent="0.25">
      <c r="A80" s="2" t="s">
        <v>972</v>
      </c>
    </row>
    <row r="81" spans="1:1" x14ac:dyDescent="0.25">
      <c r="A81" s="2" t="s">
        <v>973</v>
      </c>
    </row>
    <row r="82" spans="1:1" x14ac:dyDescent="0.25">
      <c r="A82" s="2" t="s">
        <v>974</v>
      </c>
    </row>
    <row r="83" spans="1:1" x14ac:dyDescent="0.25">
      <c r="A83" s="2" t="s">
        <v>975</v>
      </c>
    </row>
    <row r="84" spans="1:1" x14ac:dyDescent="0.25">
      <c r="A84" s="2" t="s">
        <v>976</v>
      </c>
    </row>
    <row r="85" spans="1:1" x14ac:dyDescent="0.25">
      <c r="A85" s="2" t="s">
        <v>977</v>
      </c>
    </row>
    <row r="86" spans="1:1" x14ac:dyDescent="0.25">
      <c r="A86" s="2" t="s">
        <v>978</v>
      </c>
    </row>
    <row r="87" spans="1:1" x14ac:dyDescent="0.25">
      <c r="A87" s="2" t="s">
        <v>979</v>
      </c>
    </row>
    <row r="88" spans="1:1" x14ac:dyDescent="0.25">
      <c r="A88" s="2" t="s">
        <v>980</v>
      </c>
    </row>
    <row r="89" spans="1:1" x14ac:dyDescent="0.25">
      <c r="A89" s="2" t="s">
        <v>981</v>
      </c>
    </row>
    <row r="90" spans="1:1" x14ac:dyDescent="0.25">
      <c r="A90" s="2" t="s">
        <v>982</v>
      </c>
    </row>
    <row r="91" spans="1:1" x14ac:dyDescent="0.25">
      <c r="A91" s="2" t="s">
        <v>983</v>
      </c>
    </row>
    <row r="92" spans="1:1" x14ac:dyDescent="0.25">
      <c r="A92" s="2" t="s">
        <v>984</v>
      </c>
    </row>
    <row r="93" spans="1:1" x14ac:dyDescent="0.25">
      <c r="A93" s="2" t="s">
        <v>985</v>
      </c>
    </row>
    <row r="94" spans="1:1" x14ac:dyDescent="0.25">
      <c r="A94" s="2" t="s">
        <v>986</v>
      </c>
    </row>
    <row r="95" spans="1:1" x14ac:dyDescent="0.25">
      <c r="A95" s="2" t="s">
        <v>987</v>
      </c>
    </row>
    <row r="96" spans="1:1" x14ac:dyDescent="0.25">
      <c r="A96" s="2" t="s">
        <v>988</v>
      </c>
    </row>
    <row r="97" spans="1:1" x14ac:dyDescent="0.25">
      <c r="A97" s="2" t="s">
        <v>989</v>
      </c>
    </row>
    <row r="98" spans="1:1" x14ac:dyDescent="0.25">
      <c r="A98" s="2" t="s">
        <v>990</v>
      </c>
    </row>
    <row r="99" spans="1:1" x14ac:dyDescent="0.25">
      <c r="A99" s="2" t="s">
        <v>991</v>
      </c>
    </row>
    <row r="100" spans="1:1" x14ac:dyDescent="0.25">
      <c r="A100" s="2" t="s">
        <v>992</v>
      </c>
    </row>
    <row r="101" spans="1:1" x14ac:dyDescent="0.25">
      <c r="A101" s="2" t="s">
        <v>993</v>
      </c>
    </row>
    <row r="102" spans="1:1" x14ac:dyDescent="0.25">
      <c r="A102" s="2" t="s">
        <v>994</v>
      </c>
    </row>
    <row r="103" spans="1:1" x14ac:dyDescent="0.25">
      <c r="A103" s="2" t="s">
        <v>995</v>
      </c>
    </row>
    <row r="104" spans="1:1" x14ac:dyDescent="0.25">
      <c r="A104" s="2" t="s">
        <v>996</v>
      </c>
    </row>
    <row r="105" spans="1:1" x14ac:dyDescent="0.25">
      <c r="A105" s="2" t="s">
        <v>997</v>
      </c>
    </row>
    <row r="106" spans="1:1" x14ac:dyDescent="0.25">
      <c r="A106" s="2" t="s">
        <v>998</v>
      </c>
    </row>
    <row r="107" spans="1:1" x14ac:dyDescent="0.25">
      <c r="A107" s="2" t="s">
        <v>999</v>
      </c>
    </row>
    <row r="108" spans="1:1" x14ac:dyDescent="0.25">
      <c r="A108" s="2" t="s">
        <v>1000</v>
      </c>
    </row>
    <row r="109" spans="1:1" x14ac:dyDescent="0.25">
      <c r="A109" s="2" t="s">
        <v>1001</v>
      </c>
    </row>
    <row r="110" spans="1:1" x14ac:dyDescent="0.25">
      <c r="A110" s="2" t="s">
        <v>1002</v>
      </c>
    </row>
    <row r="111" spans="1:1" x14ac:dyDescent="0.25">
      <c r="A111" s="2" t="s">
        <v>1003</v>
      </c>
    </row>
    <row r="112" spans="1:1" x14ac:dyDescent="0.25">
      <c r="A112" s="2" t="s">
        <v>1004</v>
      </c>
    </row>
    <row r="113" spans="1:1" x14ac:dyDescent="0.25">
      <c r="A113" s="2" t="s">
        <v>1005</v>
      </c>
    </row>
    <row r="114" spans="1:1" x14ac:dyDescent="0.25">
      <c r="A114" s="2" t="s">
        <v>1006</v>
      </c>
    </row>
    <row r="115" spans="1:1" x14ac:dyDescent="0.25">
      <c r="A115" s="2" t="s">
        <v>1007</v>
      </c>
    </row>
    <row r="116" spans="1:1" x14ac:dyDescent="0.25">
      <c r="A116" s="2" t="s">
        <v>1008</v>
      </c>
    </row>
    <row r="117" spans="1:1" x14ac:dyDescent="0.25">
      <c r="A117" s="2" t="s">
        <v>1009</v>
      </c>
    </row>
    <row r="118" spans="1:1" x14ac:dyDescent="0.25">
      <c r="A118" s="2" t="s">
        <v>1010</v>
      </c>
    </row>
    <row r="119" spans="1:1" x14ac:dyDescent="0.25">
      <c r="A119" s="2" t="s">
        <v>1011</v>
      </c>
    </row>
    <row r="120" spans="1:1" x14ac:dyDescent="0.25">
      <c r="A120" s="2" t="s">
        <v>1012</v>
      </c>
    </row>
    <row r="121" spans="1:1" x14ac:dyDescent="0.25">
      <c r="A121" s="2" t="s">
        <v>1013</v>
      </c>
    </row>
    <row r="122" spans="1:1" x14ac:dyDescent="0.25">
      <c r="A122" s="2" t="s">
        <v>1014</v>
      </c>
    </row>
    <row r="123" spans="1:1" x14ac:dyDescent="0.25">
      <c r="A123" s="2" t="s">
        <v>1015</v>
      </c>
    </row>
    <row r="124" spans="1:1" x14ac:dyDescent="0.25">
      <c r="A124" s="2" t="s">
        <v>1016</v>
      </c>
    </row>
    <row r="125" spans="1:1" x14ac:dyDescent="0.25">
      <c r="A125" s="2" t="s">
        <v>1017</v>
      </c>
    </row>
    <row r="126" spans="1:1" x14ac:dyDescent="0.25">
      <c r="A126" s="2" t="s">
        <v>1018</v>
      </c>
    </row>
    <row r="127" spans="1:1" x14ac:dyDescent="0.25">
      <c r="A127" s="2" t="s">
        <v>1019</v>
      </c>
    </row>
    <row r="128" spans="1:1" x14ac:dyDescent="0.25">
      <c r="A128" s="2" t="s">
        <v>1020</v>
      </c>
    </row>
    <row r="129" spans="1:1" x14ac:dyDescent="0.25">
      <c r="A129" s="2" t="s">
        <v>1021</v>
      </c>
    </row>
    <row r="130" spans="1:1" x14ac:dyDescent="0.25">
      <c r="A130" s="2" t="s">
        <v>1022</v>
      </c>
    </row>
    <row r="131" spans="1:1" x14ac:dyDescent="0.25">
      <c r="A131" s="2" t="s">
        <v>1023</v>
      </c>
    </row>
    <row r="132" spans="1:1" x14ac:dyDescent="0.25">
      <c r="A132" s="2" t="s">
        <v>1024</v>
      </c>
    </row>
    <row r="133" spans="1:1" x14ac:dyDescent="0.25">
      <c r="A133" s="2" t="s">
        <v>1025</v>
      </c>
    </row>
    <row r="134" spans="1:1" x14ac:dyDescent="0.25">
      <c r="A134" s="2" t="s">
        <v>1026</v>
      </c>
    </row>
    <row r="135" spans="1:1" x14ac:dyDescent="0.25">
      <c r="A135" s="2" t="s">
        <v>1027</v>
      </c>
    </row>
    <row r="136" spans="1:1" x14ac:dyDescent="0.25">
      <c r="A136" s="2" t="s">
        <v>1028</v>
      </c>
    </row>
    <row r="137" spans="1:1" x14ac:dyDescent="0.25">
      <c r="A137" s="2" t="s">
        <v>1029</v>
      </c>
    </row>
    <row r="138" spans="1:1" x14ac:dyDescent="0.25">
      <c r="A138" s="2" t="s">
        <v>1030</v>
      </c>
    </row>
    <row r="139" spans="1:1" x14ac:dyDescent="0.25">
      <c r="A139" s="2" t="s">
        <v>1031</v>
      </c>
    </row>
    <row r="140" spans="1:1" x14ac:dyDescent="0.25">
      <c r="A140" s="2" t="s">
        <v>1032</v>
      </c>
    </row>
    <row r="141" spans="1:1" x14ac:dyDescent="0.25">
      <c r="A141" s="2" t="s">
        <v>1033</v>
      </c>
    </row>
    <row r="142" spans="1:1" x14ac:dyDescent="0.25">
      <c r="A142" s="2" t="s">
        <v>1034</v>
      </c>
    </row>
    <row r="143" spans="1:1" x14ac:dyDescent="0.25">
      <c r="A143" s="2" t="s">
        <v>1035</v>
      </c>
    </row>
    <row r="144" spans="1:1" x14ac:dyDescent="0.25">
      <c r="A144" s="2" t="s">
        <v>1036</v>
      </c>
    </row>
    <row r="145" spans="1:1" x14ac:dyDescent="0.25">
      <c r="A145" s="2" t="s">
        <v>1037</v>
      </c>
    </row>
    <row r="146" spans="1:1" x14ac:dyDescent="0.25">
      <c r="A146" s="2" t="s">
        <v>1038</v>
      </c>
    </row>
    <row r="147" spans="1:1" x14ac:dyDescent="0.25">
      <c r="A147" s="2" t="s">
        <v>1039</v>
      </c>
    </row>
    <row r="148" spans="1:1" x14ac:dyDescent="0.25">
      <c r="A148" s="2" t="s">
        <v>1040</v>
      </c>
    </row>
    <row r="149" spans="1:1" x14ac:dyDescent="0.25">
      <c r="A149" s="2" t="s">
        <v>1041</v>
      </c>
    </row>
    <row r="150" spans="1:1" x14ac:dyDescent="0.25">
      <c r="A150" s="2" t="s">
        <v>1042</v>
      </c>
    </row>
    <row r="151" spans="1:1" x14ac:dyDescent="0.25">
      <c r="A151" s="2" t="s">
        <v>1043</v>
      </c>
    </row>
    <row r="152" spans="1:1" x14ac:dyDescent="0.25">
      <c r="A152" s="2" t="s">
        <v>1044</v>
      </c>
    </row>
    <row r="153" spans="1:1" x14ac:dyDescent="0.25">
      <c r="A153" s="2" t="s">
        <v>1045</v>
      </c>
    </row>
    <row r="154" spans="1:1" x14ac:dyDescent="0.25">
      <c r="A154" s="2" t="s">
        <v>1046</v>
      </c>
    </row>
    <row r="155" spans="1:1" x14ac:dyDescent="0.25">
      <c r="A155" s="2" t="s">
        <v>1047</v>
      </c>
    </row>
    <row r="156" spans="1:1" x14ac:dyDescent="0.25">
      <c r="A156" s="2" t="s">
        <v>1048</v>
      </c>
    </row>
    <row r="157" spans="1:1" x14ac:dyDescent="0.25">
      <c r="A157" s="2" t="s">
        <v>1049</v>
      </c>
    </row>
    <row r="158" spans="1:1" x14ac:dyDescent="0.25">
      <c r="A158" s="2" t="s">
        <v>1050</v>
      </c>
    </row>
    <row r="159" spans="1:1" x14ac:dyDescent="0.25">
      <c r="A159" s="2" t="s">
        <v>1051</v>
      </c>
    </row>
    <row r="160" spans="1:1" x14ac:dyDescent="0.25">
      <c r="A160" s="2" t="s">
        <v>1052</v>
      </c>
    </row>
    <row r="161" spans="1:1" x14ac:dyDescent="0.25">
      <c r="A161" s="2" t="s">
        <v>1053</v>
      </c>
    </row>
    <row r="162" spans="1:1" x14ac:dyDescent="0.25">
      <c r="A162" s="2" t="s">
        <v>1054</v>
      </c>
    </row>
    <row r="163" spans="1:1" x14ac:dyDescent="0.25">
      <c r="A163" s="2" t="s">
        <v>1055</v>
      </c>
    </row>
    <row r="164" spans="1:1" x14ac:dyDescent="0.25">
      <c r="A164" s="2" t="s">
        <v>1056</v>
      </c>
    </row>
    <row r="165" spans="1:1" x14ac:dyDescent="0.25">
      <c r="A165" s="2" t="s">
        <v>1057</v>
      </c>
    </row>
    <row r="166" spans="1:1" x14ac:dyDescent="0.25">
      <c r="A166" s="2" t="s">
        <v>1058</v>
      </c>
    </row>
    <row r="167" spans="1:1" x14ac:dyDescent="0.25">
      <c r="A167" s="2" t="s">
        <v>1059</v>
      </c>
    </row>
    <row r="168" spans="1:1" x14ac:dyDescent="0.25">
      <c r="A168" s="2" t="s">
        <v>1060</v>
      </c>
    </row>
    <row r="169" spans="1:1" x14ac:dyDescent="0.25">
      <c r="A169" s="2" t="s">
        <v>1061</v>
      </c>
    </row>
    <row r="170" spans="1:1" x14ac:dyDescent="0.25">
      <c r="A170" s="2" t="s">
        <v>1062</v>
      </c>
    </row>
    <row r="171" spans="1:1" x14ac:dyDescent="0.25">
      <c r="A171" s="2" t="s">
        <v>1063</v>
      </c>
    </row>
    <row r="172" spans="1:1" x14ac:dyDescent="0.25">
      <c r="A172" s="2" t="s">
        <v>1064</v>
      </c>
    </row>
    <row r="173" spans="1:1" x14ac:dyDescent="0.25">
      <c r="A173" s="2" t="s">
        <v>1065</v>
      </c>
    </row>
    <row r="174" spans="1:1" x14ac:dyDescent="0.25">
      <c r="A174" s="2" t="s">
        <v>1066</v>
      </c>
    </row>
    <row r="175" spans="1:1" x14ac:dyDescent="0.25">
      <c r="A175" s="2" t="s">
        <v>1067</v>
      </c>
    </row>
    <row r="176" spans="1:1" x14ac:dyDescent="0.25">
      <c r="A176" s="2" t="s">
        <v>1068</v>
      </c>
    </row>
    <row r="177" spans="1:1" x14ac:dyDescent="0.25">
      <c r="A177" s="2" t="s">
        <v>1069</v>
      </c>
    </row>
    <row r="178" spans="1:1" x14ac:dyDescent="0.25">
      <c r="A178" s="2" t="s">
        <v>1070</v>
      </c>
    </row>
    <row r="179" spans="1:1" x14ac:dyDescent="0.25">
      <c r="A179" s="2" t="s">
        <v>1071</v>
      </c>
    </row>
    <row r="180" spans="1:1" x14ac:dyDescent="0.25">
      <c r="A180" s="2" t="s">
        <v>1072</v>
      </c>
    </row>
    <row r="181" spans="1:1" x14ac:dyDescent="0.25">
      <c r="A181" s="2" t="s">
        <v>1073</v>
      </c>
    </row>
    <row r="182" spans="1:1" x14ac:dyDescent="0.25">
      <c r="A182" s="2" t="s">
        <v>1074</v>
      </c>
    </row>
    <row r="183" spans="1:1" x14ac:dyDescent="0.25">
      <c r="A183" s="2" t="s">
        <v>1075</v>
      </c>
    </row>
    <row r="184" spans="1:1" x14ac:dyDescent="0.25">
      <c r="A184" s="2" t="s">
        <v>1076</v>
      </c>
    </row>
    <row r="185" spans="1:1" x14ac:dyDescent="0.25">
      <c r="A185" s="2" t="s">
        <v>1077</v>
      </c>
    </row>
    <row r="186" spans="1:1" x14ac:dyDescent="0.25">
      <c r="A186" s="2" t="s">
        <v>1078</v>
      </c>
    </row>
    <row r="187" spans="1:1" x14ac:dyDescent="0.25">
      <c r="A187" s="2" t="s">
        <v>1079</v>
      </c>
    </row>
    <row r="188" spans="1:1" x14ac:dyDescent="0.25">
      <c r="A188" s="2" t="s">
        <v>1080</v>
      </c>
    </row>
    <row r="189" spans="1:1" x14ac:dyDescent="0.25">
      <c r="A189" s="2" t="s">
        <v>1081</v>
      </c>
    </row>
    <row r="190" spans="1:1" x14ac:dyDescent="0.25">
      <c r="A190" s="2" t="s">
        <v>1082</v>
      </c>
    </row>
    <row r="191" spans="1:1" x14ac:dyDescent="0.25">
      <c r="A191" s="2" t="s">
        <v>1083</v>
      </c>
    </row>
    <row r="192" spans="1:1" x14ac:dyDescent="0.25">
      <c r="A192" s="2" t="s">
        <v>1084</v>
      </c>
    </row>
    <row r="193" spans="1:1" x14ac:dyDescent="0.25">
      <c r="A193" s="2" t="s">
        <v>1085</v>
      </c>
    </row>
    <row r="194" spans="1:1" x14ac:dyDescent="0.25">
      <c r="A194" s="2" t="s">
        <v>1086</v>
      </c>
    </row>
    <row r="195" spans="1:1" x14ac:dyDescent="0.25">
      <c r="A195" s="2" t="s">
        <v>1087</v>
      </c>
    </row>
    <row r="196" spans="1:1" x14ac:dyDescent="0.25">
      <c r="A196" s="2" t="s">
        <v>1088</v>
      </c>
    </row>
    <row r="197" spans="1:1" x14ac:dyDescent="0.25">
      <c r="A197" s="2" t="s">
        <v>1089</v>
      </c>
    </row>
    <row r="198" spans="1:1" x14ac:dyDescent="0.25">
      <c r="A198" s="2" t="s">
        <v>1090</v>
      </c>
    </row>
    <row r="199" spans="1:1" x14ac:dyDescent="0.25">
      <c r="A199" s="2" t="s">
        <v>1091</v>
      </c>
    </row>
    <row r="200" spans="1:1" x14ac:dyDescent="0.25">
      <c r="A200" s="2" t="s">
        <v>1092</v>
      </c>
    </row>
    <row r="201" spans="1:1" x14ac:dyDescent="0.25">
      <c r="A201" s="2" t="s">
        <v>1093</v>
      </c>
    </row>
    <row r="202" spans="1:1" x14ac:dyDescent="0.25">
      <c r="A202" s="2" t="s">
        <v>1094</v>
      </c>
    </row>
    <row r="203" spans="1:1" x14ac:dyDescent="0.25">
      <c r="A203" s="2" t="s">
        <v>1095</v>
      </c>
    </row>
    <row r="204" spans="1:1" x14ac:dyDescent="0.25">
      <c r="A204" s="2" t="s">
        <v>1096</v>
      </c>
    </row>
    <row r="205" spans="1:1" x14ac:dyDescent="0.25">
      <c r="A205" s="2" t="s">
        <v>1097</v>
      </c>
    </row>
    <row r="206" spans="1:1" x14ac:dyDescent="0.25">
      <c r="A206" s="2" t="s">
        <v>1098</v>
      </c>
    </row>
    <row r="207" spans="1:1" x14ac:dyDescent="0.25">
      <c r="A207" s="2" t="s">
        <v>1099</v>
      </c>
    </row>
    <row r="208" spans="1:1" x14ac:dyDescent="0.25">
      <c r="A208" s="2" t="s">
        <v>1100</v>
      </c>
    </row>
    <row r="209" spans="1:1" x14ac:dyDescent="0.25">
      <c r="A209" s="2" t="s">
        <v>1101</v>
      </c>
    </row>
    <row r="210" spans="1:1" x14ac:dyDescent="0.25">
      <c r="A210" s="2" t="s">
        <v>1102</v>
      </c>
    </row>
    <row r="211" spans="1:1" x14ac:dyDescent="0.25">
      <c r="A211" s="2" t="s">
        <v>1103</v>
      </c>
    </row>
    <row r="212" spans="1:1" x14ac:dyDescent="0.25">
      <c r="A212" s="2" t="s">
        <v>1104</v>
      </c>
    </row>
    <row r="213" spans="1:1" x14ac:dyDescent="0.25">
      <c r="A213" s="2" t="s">
        <v>1105</v>
      </c>
    </row>
    <row r="214" spans="1:1" x14ac:dyDescent="0.25">
      <c r="A214" s="2" t="s">
        <v>1106</v>
      </c>
    </row>
    <row r="215" spans="1:1" x14ac:dyDescent="0.25">
      <c r="A215" s="2" t="s">
        <v>1107</v>
      </c>
    </row>
    <row r="216" spans="1:1" x14ac:dyDescent="0.25">
      <c r="A216" s="2" t="s">
        <v>1108</v>
      </c>
    </row>
    <row r="217" spans="1:1" x14ac:dyDescent="0.25">
      <c r="A217" s="2" t="s">
        <v>1109</v>
      </c>
    </row>
    <row r="218" spans="1:1" x14ac:dyDescent="0.25">
      <c r="A218" s="2" t="s">
        <v>1110</v>
      </c>
    </row>
    <row r="219" spans="1:1" x14ac:dyDescent="0.25">
      <c r="A219" s="2" t="s">
        <v>1111</v>
      </c>
    </row>
    <row r="220" spans="1:1" x14ac:dyDescent="0.25">
      <c r="A220" s="2" t="s">
        <v>1112</v>
      </c>
    </row>
    <row r="221" spans="1:1" x14ac:dyDescent="0.25">
      <c r="A221" s="2" t="s">
        <v>1113</v>
      </c>
    </row>
    <row r="222" spans="1:1" x14ac:dyDescent="0.25">
      <c r="A222" s="2" t="s">
        <v>1114</v>
      </c>
    </row>
    <row r="223" spans="1:1" x14ac:dyDescent="0.25">
      <c r="A223" s="2" t="s">
        <v>1115</v>
      </c>
    </row>
    <row r="224" spans="1:1" x14ac:dyDescent="0.25">
      <c r="A224" s="2" t="s">
        <v>1116</v>
      </c>
    </row>
    <row r="225" spans="1:1" x14ac:dyDescent="0.25">
      <c r="A225" s="2" t="s">
        <v>1117</v>
      </c>
    </row>
    <row r="226" spans="1:1" x14ac:dyDescent="0.25">
      <c r="A226" s="2" t="s">
        <v>1118</v>
      </c>
    </row>
    <row r="227" spans="1:1" x14ac:dyDescent="0.25">
      <c r="A227" s="2" t="s">
        <v>1119</v>
      </c>
    </row>
    <row r="228" spans="1:1" x14ac:dyDescent="0.25">
      <c r="A228" s="2" t="s">
        <v>1120</v>
      </c>
    </row>
    <row r="229" spans="1:1" x14ac:dyDescent="0.25">
      <c r="A229" s="2" t="s">
        <v>1121</v>
      </c>
    </row>
    <row r="230" spans="1:1" x14ac:dyDescent="0.25">
      <c r="A230" s="2" t="s">
        <v>1122</v>
      </c>
    </row>
    <row r="231" spans="1:1" x14ac:dyDescent="0.25">
      <c r="A231" s="2" t="s">
        <v>1123</v>
      </c>
    </row>
    <row r="232" spans="1:1" x14ac:dyDescent="0.25">
      <c r="A232" s="2" t="s">
        <v>1124</v>
      </c>
    </row>
    <row r="233" spans="1:1" x14ac:dyDescent="0.25">
      <c r="A233" s="2" t="s">
        <v>1125</v>
      </c>
    </row>
    <row r="234" spans="1:1" x14ac:dyDescent="0.25">
      <c r="A234" s="2" t="s">
        <v>1126</v>
      </c>
    </row>
    <row r="235" spans="1:1" x14ac:dyDescent="0.25">
      <c r="A235" s="2" t="s">
        <v>1127</v>
      </c>
    </row>
    <row r="236" spans="1:1" x14ac:dyDescent="0.25">
      <c r="A236" s="2" t="s">
        <v>1128</v>
      </c>
    </row>
    <row r="237" spans="1:1" x14ac:dyDescent="0.25">
      <c r="A237" s="2" t="s">
        <v>1129</v>
      </c>
    </row>
    <row r="238" spans="1:1" x14ac:dyDescent="0.25">
      <c r="A238" s="2" t="s">
        <v>1130</v>
      </c>
    </row>
    <row r="239" spans="1:1" x14ac:dyDescent="0.25">
      <c r="A239" s="2" t="s">
        <v>1131</v>
      </c>
    </row>
    <row r="240" spans="1:1" x14ac:dyDescent="0.25">
      <c r="A240" s="2" t="s">
        <v>1132</v>
      </c>
    </row>
    <row r="241" spans="1:1" x14ac:dyDescent="0.25">
      <c r="A241" s="2" t="s">
        <v>1133</v>
      </c>
    </row>
    <row r="242" spans="1:1" x14ac:dyDescent="0.25">
      <c r="A242" s="2" t="s">
        <v>1134</v>
      </c>
    </row>
    <row r="243" spans="1:1" x14ac:dyDescent="0.25">
      <c r="A243" s="2" t="s">
        <v>1135</v>
      </c>
    </row>
    <row r="244" spans="1:1" x14ac:dyDescent="0.25">
      <c r="A244" s="2" t="s">
        <v>1136</v>
      </c>
    </row>
    <row r="245" spans="1:1" x14ac:dyDescent="0.25">
      <c r="A245" s="2" t="s">
        <v>1137</v>
      </c>
    </row>
    <row r="246" spans="1:1" x14ac:dyDescent="0.25">
      <c r="A246" s="2" t="s">
        <v>1138</v>
      </c>
    </row>
    <row r="247" spans="1:1" x14ac:dyDescent="0.25">
      <c r="A247" s="2" t="s">
        <v>1139</v>
      </c>
    </row>
    <row r="248" spans="1:1" x14ac:dyDescent="0.25">
      <c r="A248" s="2" t="s">
        <v>1140</v>
      </c>
    </row>
    <row r="249" spans="1:1" x14ac:dyDescent="0.25">
      <c r="A249" s="2" t="s">
        <v>1141</v>
      </c>
    </row>
    <row r="250" spans="1:1" x14ac:dyDescent="0.25">
      <c r="A250" s="2" t="s">
        <v>1142</v>
      </c>
    </row>
    <row r="251" spans="1:1" x14ac:dyDescent="0.25">
      <c r="A251" s="2" t="s">
        <v>1143</v>
      </c>
    </row>
    <row r="252" spans="1:1" x14ac:dyDescent="0.25">
      <c r="A252" s="2" t="s">
        <v>1144</v>
      </c>
    </row>
    <row r="253" spans="1:1" x14ac:dyDescent="0.25">
      <c r="A253" s="2" t="s">
        <v>1145</v>
      </c>
    </row>
    <row r="254" spans="1:1" x14ac:dyDescent="0.25">
      <c r="A254" s="2" t="s">
        <v>1146</v>
      </c>
    </row>
    <row r="255" spans="1:1" x14ac:dyDescent="0.25">
      <c r="A255" s="2" t="s">
        <v>1147</v>
      </c>
    </row>
    <row r="256" spans="1:1" x14ac:dyDescent="0.25">
      <c r="A256" s="2" t="s">
        <v>1148</v>
      </c>
    </row>
    <row r="257" spans="1:1" x14ac:dyDescent="0.25">
      <c r="A257" s="2" t="s">
        <v>1149</v>
      </c>
    </row>
    <row r="258" spans="1:1" x14ac:dyDescent="0.25">
      <c r="A258" s="2" t="s">
        <v>1150</v>
      </c>
    </row>
    <row r="259" spans="1:1" x14ac:dyDescent="0.25">
      <c r="A259" s="2" t="s">
        <v>1151</v>
      </c>
    </row>
    <row r="260" spans="1:1" x14ac:dyDescent="0.25">
      <c r="A260" s="2" t="s">
        <v>1152</v>
      </c>
    </row>
    <row r="261" spans="1:1" x14ac:dyDescent="0.25">
      <c r="A261" s="2" t="s">
        <v>1153</v>
      </c>
    </row>
    <row r="262" spans="1:1" x14ac:dyDescent="0.25">
      <c r="A262" s="2" t="s">
        <v>1154</v>
      </c>
    </row>
    <row r="263" spans="1:1" x14ac:dyDescent="0.25">
      <c r="A263" s="2" t="s">
        <v>1155</v>
      </c>
    </row>
    <row r="264" spans="1:1" x14ac:dyDescent="0.25">
      <c r="A264" s="2" t="s">
        <v>1156</v>
      </c>
    </row>
    <row r="265" spans="1:1" x14ac:dyDescent="0.25">
      <c r="A265" s="2" t="s">
        <v>1157</v>
      </c>
    </row>
    <row r="266" spans="1:1" x14ac:dyDescent="0.25">
      <c r="A266" s="2" t="s">
        <v>1158</v>
      </c>
    </row>
    <row r="267" spans="1:1" x14ac:dyDescent="0.25">
      <c r="A267" s="2" t="s">
        <v>1159</v>
      </c>
    </row>
    <row r="268" spans="1:1" x14ac:dyDescent="0.25">
      <c r="A268" s="2" t="s">
        <v>1160</v>
      </c>
    </row>
    <row r="269" spans="1:1" x14ac:dyDescent="0.25">
      <c r="A269" s="2" t="s">
        <v>1161</v>
      </c>
    </row>
    <row r="270" spans="1:1" x14ac:dyDescent="0.25">
      <c r="A270" s="2" t="s">
        <v>1162</v>
      </c>
    </row>
    <row r="271" spans="1:1" x14ac:dyDescent="0.25">
      <c r="A271" s="2" t="s">
        <v>1163</v>
      </c>
    </row>
    <row r="272" spans="1:1" x14ac:dyDescent="0.25">
      <c r="A272" s="2" t="s">
        <v>1164</v>
      </c>
    </row>
    <row r="273" spans="1:1" x14ac:dyDescent="0.25">
      <c r="A273" s="2" t="s">
        <v>1165</v>
      </c>
    </row>
    <row r="274" spans="1:1" x14ac:dyDescent="0.25">
      <c r="A274" s="2" t="s">
        <v>1166</v>
      </c>
    </row>
    <row r="275" spans="1:1" x14ac:dyDescent="0.25">
      <c r="A275" s="2" t="s">
        <v>1167</v>
      </c>
    </row>
    <row r="276" spans="1:1" x14ac:dyDescent="0.25">
      <c r="A276" s="2" t="s">
        <v>1168</v>
      </c>
    </row>
    <row r="277" spans="1:1" x14ac:dyDescent="0.25">
      <c r="A277" s="2" t="s">
        <v>1169</v>
      </c>
    </row>
    <row r="278" spans="1:1" x14ac:dyDescent="0.25">
      <c r="A278" s="2" t="s">
        <v>1170</v>
      </c>
    </row>
    <row r="279" spans="1:1" x14ac:dyDescent="0.25">
      <c r="A279" s="2" t="s">
        <v>1171</v>
      </c>
    </row>
    <row r="280" spans="1:1" x14ac:dyDescent="0.25">
      <c r="A280" s="2" t="s">
        <v>1172</v>
      </c>
    </row>
    <row r="281" spans="1:1" x14ac:dyDescent="0.25">
      <c r="A281" s="2" t="s">
        <v>1173</v>
      </c>
    </row>
    <row r="282" spans="1:1" x14ac:dyDescent="0.25">
      <c r="A282" s="2" t="s">
        <v>1174</v>
      </c>
    </row>
    <row r="283" spans="1:1" x14ac:dyDescent="0.25">
      <c r="A283" s="2" t="s">
        <v>1175</v>
      </c>
    </row>
    <row r="284" spans="1:1" x14ac:dyDescent="0.25">
      <c r="A284" s="2" t="s">
        <v>1176</v>
      </c>
    </row>
    <row r="285" spans="1:1" x14ac:dyDescent="0.25">
      <c r="A285" s="2" t="s">
        <v>1177</v>
      </c>
    </row>
    <row r="286" spans="1:1" x14ac:dyDescent="0.25">
      <c r="A286" s="2" t="s">
        <v>1178</v>
      </c>
    </row>
    <row r="287" spans="1:1" x14ac:dyDescent="0.25">
      <c r="A287" s="2" t="s">
        <v>1179</v>
      </c>
    </row>
    <row r="288" spans="1:1" x14ac:dyDescent="0.25">
      <c r="A288" s="2" t="s">
        <v>1180</v>
      </c>
    </row>
    <row r="289" spans="1:1" x14ac:dyDescent="0.25">
      <c r="A289" s="2" t="s">
        <v>1181</v>
      </c>
    </row>
    <row r="290" spans="1:1" x14ac:dyDescent="0.25">
      <c r="A290" s="2" t="s">
        <v>1182</v>
      </c>
    </row>
    <row r="291" spans="1:1" x14ac:dyDescent="0.25">
      <c r="A291" s="2" t="s">
        <v>1183</v>
      </c>
    </row>
    <row r="292" spans="1:1" x14ac:dyDescent="0.25">
      <c r="A292" s="2" t="s">
        <v>1184</v>
      </c>
    </row>
    <row r="293" spans="1:1" x14ac:dyDescent="0.25">
      <c r="A293" s="2" t="s">
        <v>1185</v>
      </c>
    </row>
    <row r="294" spans="1:1" x14ac:dyDescent="0.25">
      <c r="A294" s="2" t="s">
        <v>1186</v>
      </c>
    </row>
    <row r="295" spans="1:1" x14ac:dyDescent="0.25">
      <c r="A295" s="2" t="s">
        <v>1187</v>
      </c>
    </row>
    <row r="296" spans="1:1" x14ac:dyDescent="0.25">
      <c r="A296" s="2" t="s">
        <v>1188</v>
      </c>
    </row>
    <row r="297" spans="1:1" x14ac:dyDescent="0.25">
      <c r="A297" s="2" t="s">
        <v>1189</v>
      </c>
    </row>
    <row r="298" spans="1:1" x14ac:dyDescent="0.25">
      <c r="A298" s="2" t="s">
        <v>1190</v>
      </c>
    </row>
    <row r="299" spans="1:1" x14ac:dyDescent="0.25">
      <c r="A299" s="2" t="s">
        <v>1191</v>
      </c>
    </row>
    <row r="300" spans="1:1" x14ac:dyDescent="0.25">
      <c r="A300" s="2" t="s">
        <v>1192</v>
      </c>
    </row>
    <row r="301" spans="1:1" x14ac:dyDescent="0.25">
      <c r="A301" s="2" t="s">
        <v>1193</v>
      </c>
    </row>
    <row r="302" spans="1:1" x14ac:dyDescent="0.25">
      <c r="A302" s="2" t="s">
        <v>1194</v>
      </c>
    </row>
    <row r="303" spans="1:1" x14ac:dyDescent="0.25">
      <c r="A303" s="2" t="s">
        <v>1195</v>
      </c>
    </row>
    <row r="304" spans="1:1" x14ac:dyDescent="0.25">
      <c r="A304" s="2" t="s">
        <v>1196</v>
      </c>
    </row>
    <row r="305" spans="1:1" x14ac:dyDescent="0.25">
      <c r="A305" s="2" t="s">
        <v>1197</v>
      </c>
    </row>
    <row r="306" spans="1:1" x14ac:dyDescent="0.25">
      <c r="A306" s="2" t="s">
        <v>1198</v>
      </c>
    </row>
    <row r="307" spans="1:1" x14ac:dyDescent="0.25">
      <c r="A307" s="2" t="s">
        <v>1199</v>
      </c>
    </row>
    <row r="308" spans="1:1" x14ac:dyDescent="0.25">
      <c r="A308" s="2" t="s">
        <v>1200</v>
      </c>
    </row>
    <row r="309" spans="1:1" x14ac:dyDescent="0.25">
      <c r="A309" s="2" t="s">
        <v>1201</v>
      </c>
    </row>
    <row r="310" spans="1:1" x14ac:dyDescent="0.25">
      <c r="A310" s="2" t="s">
        <v>1202</v>
      </c>
    </row>
    <row r="311" spans="1:1" x14ac:dyDescent="0.25">
      <c r="A311" s="2" t="s">
        <v>1203</v>
      </c>
    </row>
    <row r="312" spans="1:1" x14ac:dyDescent="0.25">
      <c r="A312" s="2" t="s">
        <v>1204</v>
      </c>
    </row>
    <row r="313" spans="1:1" x14ac:dyDescent="0.25">
      <c r="A313" s="2" t="s">
        <v>1205</v>
      </c>
    </row>
    <row r="314" spans="1:1" x14ac:dyDescent="0.25">
      <c r="A314" s="2" t="s">
        <v>1206</v>
      </c>
    </row>
    <row r="315" spans="1:1" x14ac:dyDescent="0.25">
      <c r="A315" s="2" t="s">
        <v>1207</v>
      </c>
    </row>
    <row r="316" spans="1:1" x14ac:dyDescent="0.25">
      <c r="A316" s="2" t="s">
        <v>1208</v>
      </c>
    </row>
    <row r="317" spans="1:1" x14ac:dyDescent="0.25">
      <c r="A317" s="2" t="s">
        <v>1209</v>
      </c>
    </row>
    <row r="318" spans="1:1" x14ac:dyDescent="0.25">
      <c r="A318" s="2" t="s">
        <v>1210</v>
      </c>
    </row>
    <row r="319" spans="1:1" x14ac:dyDescent="0.25">
      <c r="A319" s="2" t="s">
        <v>1211</v>
      </c>
    </row>
    <row r="320" spans="1:1" x14ac:dyDescent="0.25">
      <c r="A320" s="2" t="s">
        <v>1212</v>
      </c>
    </row>
    <row r="321" spans="1:1" x14ac:dyDescent="0.25">
      <c r="A321" s="2" t="s">
        <v>1213</v>
      </c>
    </row>
    <row r="322" spans="1:1" x14ac:dyDescent="0.25">
      <c r="A322" s="2" t="s">
        <v>1214</v>
      </c>
    </row>
    <row r="323" spans="1:1" x14ac:dyDescent="0.25">
      <c r="A323" s="2" t="s">
        <v>1215</v>
      </c>
    </row>
    <row r="324" spans="1:1" x14ac:dyDescent="0.25">
      <c r="A324" s="2" t="s">
        <v>1216</v>
      </c>
    </row>
    <row r="325" spans="1:1" x14ac:dyDescent="0.25">
      <c r="A325" s="2" t="s">
        <v>1217</v>
      </c>
    </row>
    <row r="326" spans="1:1" x14ac:dyDescent="0.25">
      <c r="A326" s="2" t="s">
        <v>1218</v>
      </c>
    </row>
    <row r="327" spans="1:1" x14ac:dyDescent="0.25">
      <c r="A327" s="2" t="s">
        <v>1219</v>
      </c>
    </row>
    <row r="328" spans="1:1" x14ac:dyDescent="0.25">
      <c r="A328" s="2" t="s">
        <v>1220</v>
      </c>
    </row>
    <row r="329" spans="1:1" x14ac:dyDescent="0.25">
      <c r="A329" s="2" t="s">
        <v>1221</v>
      </c>
    </row>
    <row r="330" spans="1:1" x14ac:dyDescent="0.25">
      <c r="A330" s="2" t="s">
        <v>1222</v>
      </c>
    </row>
    <row r="331" spans="1:1" x14ac:dyDescent="0.25">
      <c r="A331" s="2" t="s">
        <v>1223</v>
      </c>
    </row>
    <row r="332" spans="1:1" x14ac:dyDescent="0.25">
      <c r="A332" s="2" t="s">
        <v>1224</v>
      </c>
    </row>
    <row r="333" spans="1:1" x14ac:dyDescent="0.25">
      <c r="A333" s="2" t="s">
        <v>1225</v>
      </c>
    </row>
    <row r="334" spans="1:1" x14ac:dyDescent="0.25">
      <c r="A334" s="2" t="s">
        <v>1226</v>
      </c>
    </row>
    <row r="335" spans="1:1" x14ac:dyDescent="0.25">
      <c r="A335" s="2" t="s">
        <v>1227</v>
      </c>
    </row>
    <row r="336" spans="1:1" x14ac:dyDescent="0.25">
      <c r="A336" s="2" t="s">
        <v>1228</v>
      </c>
    </row>
    <row r="337" spans="1:1" x14ac:dyDescent="0.25">
      <c r="A337" s="2" t="s">
        <v>1229</v>
      </c>
    </row>
    <row r="338" spans="1:1" x14ac:dyDescent="0.25">
      <c r="A338" s="2" t="s">
        <v>1230</v>
      </c>
    </row>
    <row r="339" spans="1:1" x14ac:dyDescent="0.25">
      <c r="A339" s="2" t="s">
        <v>1231</v>
      </c>
    </row>
    <row r="340" spans="1:1" x14ac:dyDescent="0.25">
      <c r="A340" s="2" t="s">
        <v>1232</v>
      </c>
    </row>
    <row r="341" spans="1:1" x14ac:dyDescent="0.25">
      <c r="A341" s="2" t="s">
        <v>1233</v>
      </c>
    </row>
    <row r="342" spans="1:1" x14ac:dyDescent="0.25">
      <c r="A342" s="2" t="s">
        <v>1234</v>
      </c>
    </row>
    <row r="343" spans="1:1" x14ac:dyDescent="0.25">
      <c r="A343" s="2" t="s">
        <v>1235</v>
      </c>
    </row>
    <row r="344" spans="1:1" x14ac:dyDescent="0.25">
      <c r="A344" s="2" t="s">
        <v>1236</v>
      </c>
    </row>
    <row r="345" spans="1:1" x14ac:dyDescent="0.25">
      <c r="A345" s="2" t="s">
        <v>1237</v>
      </c>
    </row>
    <row r="346" spans="1:1" x14ac:dyDescent="0.25">
      <c r="A346" s="2" t="s">
        <v>1238</v>
      </c>
    </row>
    <row r="347" spans="1:1" x14ac:dyDescent="0.25">
      <c r="A347" s="2" t="s">
        <v>1239</v>
      </c>
    </row>
    <row r="348" spans="1:1" x14ac:dyDescent="0.25">
      <c r="A348" s="2" t="s">
        <v>1240</v>
      </c>
    </row>
    <row r="349" spans="1:1" x14ac:dyDescent="0.25">
      <c r="A349" s="2" t="s">
        <v>1241</v>
      </c>
    </row>
    <row r="350" spans="1:1" x14ac:dyDescent="0.25">
      <c r="A350" s="2" t="s">
        <v>1242</v>
      </c>
    </row>
    <row r="351" spans="1:1" x14ac:dyDescent="0.25">
      <c r="A351" s="2" t="s">
        <v>1243</v>
      </c>
    </row>
    <row r="352" spans="1:1" x14ac:dyDescent="0.25">
      <c r="A352" s="2" t="s">
        <v>1244</v>
      </c>
    </row>
    <row r="353" spans="1:1" x14ac:dyDescent="0.25">
      <c r="A353" s="2" t="s">
        <v>1245</v>
      </c>
    </row>
    <row r="354" spans="1:1" x14ac:dyDescent="0.25">
      <c r="A354" s="2" t="s">
        <v>1246</v>
      </c>
    </row>
    <row r="355" spans="1:1" x14ac:dyDescent="0.25">
      <c r="A355" s="2" t="s">
        <v>1247</v>
      </c>
    </row>
    <row r="356" spans="1:1" x14ac:dyDescent="0.25">
      <c r="A356" s="2" t="s">
        <v>1248</v>
      </c>
    </row>
    <row r="357" spans="1:1" x14ac:dyDescent="0.25">
      <c r="A357" s="2" t="s">
        <v>1249</v>
      </c>
    </row>
    <row r="358" spans="1:1" x14ac:dyDescent="0.25">
      <c r="A358" s="2" t="s">
        <v>1250</v>
      </c>
    </row>
    <row r="359" spans="1:1" x14ac:dyDescent="0.25">
      <c r="A359" s="2" t="s">
        <v>1251</v>
      </c>
    </row>
    <row r="360" spans="1:1" x14ac:dyDescent="0.25">
      <c r="A360" s="2" t="s">
        <v>1252</v>
      </c>
    </row>
    <row r="361" spans="1:1" x14ac:dyDescent="0.25">
      <c r="A361" s="2" t="s">
        <v>1253</v>
      </c>
    </row>
    <row r="362" spans="1:1" x14ac:dyDescent="0.25">
      <c r="A362" s="2" t="s">
        <v>1254</v>
      </c>
    </row>
    <row r="363" spans="1:1" x14ac:dyDescent="0.25">
      <c r="A363" s="2" t="s">
        <v>1255</v>
      </c>
    </row>
    <row r="364" spans="1:1" x14ac:dyDescent="0.25">
      <c r="A364" s="2" t="s">
        <v>1256</v>
      </c>
    </row>
    <row r="365" spans="1:1" x14ac:dyDescent="0.25">
      <c r="A365" s="2" t="s">
        <v>1257</v>
      </c>
    </row>
    <row r="366" spans="1:1" x14ac:dyDescent="0.25">
      <c r="A366" s="2" t="s">
        <v>1258</v>
      </c>
    </row>
    <row r="367" spans="1:1" x14ac:dyDescent="0.25">
      <c r="A367" s="2" t="s">
        <v>1259</v>
      </c>
    </row>
    <row r="368" spans="1:1" x14ac:dyDescent="0.25">
      <c r="A368" s="2" t="s">
        <v>1260</v>
      </c>
    </row>
    <row r="369" spans="1:1" x14ac:dyDescent="0.25">
      <c r="A369" s="2" t="s">
        <v>1261</v>
      </c>
    </row>
    <row r="370" spans="1:1" x14ac:dyDescent="0.25">
      <c r="A370" s="2" t="s">
        <v>1262</v>
      </c>
    </row>
    <row r="371" spans="1:1" x14ac:dyDescent="0.25">
      <c r="A371" s="2" t="s">
        <v>1263</v>
      </c>
    </row>
    <row r="372" spans="1:1" x14ac:dyDescent="0.25">
      <c r="A372" s="2" t="s">
        <v>1264</v>
      </c>
    </row>
    <row r="373" spans="1:1" x14ac:dyDescent="0.25">
      <c r="A373" s="2" t="s">
        <v>1265</v>
      </c>
    </row>
    <row r="374" spans="1:1" x14ac:dyDescent="0.25">
      <c r="A374" s="2" t="s">
        <v>1266</v>
      </c>
    </row>
    <row r="375" spans="1:1" x14ac:dyDescent="0.25">
      <c r="A375" s="2" t="s">
        <v>1267</v>
      </c>
    </row>
    <row r="376" spans="1:1" x14ac:dyDescent="0.25">
      <c r="A376" s="2" t="s">
        <v>1268</v>
      </c>
    </row>
    <row r="377" spans="1:1" x14ac:dyDescent="0.25">
      <c r="A377" s="2" t="s">
        <v>1269</v>
      </c>
    </row>
    <row r="378" spans="1:1" x14ac:dyDescent="0.25">
      <c r="A378" s="2" t="s">
        <v>1270</v>
      </c>
    </row>
    <row r="379" spans="1:1" x14ac:dyDescent="0.25">
      <c r="A379" s="2" t="s">
        <v>1271</v>
      </c>
    </row>
    <row r="380" spans="1:1" x14ac:dyDescent="0.25">
      <c r="A380" s="2" t="s">
        <v>1272</v>
      </c>
    </row>
    <row r="381" spans="1:1" x14ac:dyDescent="0.25">
      <c r="A381" s="2" t="s">
        <v>1273</v>
      </c>
    </row>
    <row r="382" spans="1:1" x14ac:dyDescent="0.25">
      <c r="A382" s="2" t="s">
        <v>1274</v>
      </c>
    </row>
    <row r="383" spans="1:1" x14ac:dyDescent="0.25">
      <c r="A383" s="2" t="s">
        <v>1275</v>
      </c>
    </row>
    <row r="384" spans="1:1" x14ac:dyDescent="0.25">
      <c r="A384" s="2" t="s">
        <v>1276</v>
      </c>
    </row>
    <row r="385" spans="1:1" x14ac:dyDescent="0.25">
      <c r="A385" s="2" t="s">
        <v>1277</v>
      </c>
    </row>
    <row r="386" spans="1:1" x14ac:dyDescent="0.25">
      <c r="A386" s="2" t="s">
        <v>1278</v>
      </c>
    </row>
    <row r="387" spans="1:1" x14ac:dyDescent="0.25">
      <c r="A387" s="2" t="s">
        <v>1279</v>
      </c>
    </row>
    <row r="388" spans="1:1" x14ac:dyDescent="0.25">
      <c r="A388" s="2" t="s">
        <v>1280</v>
      </c>
    </row>
    <row r="389" spans="1:1" x14ac:dyDescent="0.25">
      <c r="A389" s="2" t="s">
        <v>1281</v>
      </c>
    </row>
    <row r="390" spans="1:1" x14ac:dyDescent="0.25">
      <c r="A390" s="2" t="s">
        <v>1282</v>
      </c>
    </row>
    <row r="391" spans="1:1" x14ac:dyDescent="0.25">
      <c r="A391" s="2" t="s">
        <v>1283</v>
      </c>
    </row>
    <row r="392" spans="1:1" x14ac:dyDescent="0.25">
      <c r="A392" s="2" t="s">
        <v>1284</v>
      </c>
    </row>
    <row r="393" spans="1:1" x14ac:dyDescent="0.25">
      <c r="A393" s="2" t="s">
        <v>1285</v>
      </c>
    </row>
    <row r="394" spans="1:1" x14ac:dyDescent="0.25">
      <c r="A394" s="2" t="s">
        <v>1286</v>
      </c>
    </row>
    <row r="395" spans="1:1" x14ac:dyDescent="0.25">
      <c r="A395" s="2" t="s">
        <v>1287</v>
      </c>
    </row>
    <row r="396" spans="1:1" x14ac:dyDescent="0.25">
      <c r="A396" s="2" t="s">
        <v>1288</v>
      </c>
    </row>
    <row r="397" spans="1:1" x14ac:dyDescent="0.25">
      <c r="A397" s="2" t="s">
        <v>1289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whm_guide</vt:lpstr>
      <vt:lpstr>Sheet1</vt:lpstr>
      <vt:lpstr>my_guide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Hutchinson</dc:creator>
  <cp:lastModifiedBy>John Hutchinson</cp:lastModifiedBy>
  <dcterms:created xsi:type="dcterms:W3CDTF">2018-12-25T16:10:16Z</dcterms:created>
  <dcterms:modified xsi:type="dcterms:W3CDTF">2019-01-05T23:34:29Z</dcterms:modified>
</cp:coreProperties>
</file>